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ignup Form" sheetId="2" r:id="rId6"/>
    <sheet state="visible" name="Teams" sheetId="3" r:id="rId7"/>
    <sheet state="visible" name="Box_A" sheetId="4" r:id="rId8"/>
    <sheet state="visible" name="Box_B" sheetId="5" r:id="rId9"/>
    <sheet state="visible" name="Box_C" sheetId="6" r:id="rId10"/>
    <sheet state="visible" name="Final Scores" sheetId="7" r:id="rId11"/>
    <sheet state="visible" name="Test Data" sheetId="8" r:id="rId12"/>
  </sheets>
  <definedNames>
    <definedName name="SignupNames">'Signup Form'!$B$6:$B$202</definedName>
    <definedName name="SignupClubs">'Signup Form'!$C$6:$C$202</definedName>
  </definedNames>
  <calcPr/>
</workbook>
</file>

<file path=xl/sharedStrings.xml><?xml version="1.0" encoding="utf-8"?>
<sst xmlns="http://schemas.openxmlformats.org/spreadsheetml/2006/main" count="384" uniqueCount="167">
  <si>
    <t>Brief Instructions</t>
  </si>
  <si>
    <t>"Signup Form": recommended data needed from the signup form. There is a small script attatched that can automatically create teams based on given rating so that it can be done *on the day!*</t>
  </si>
  <si>
    <t>This can be linked to the actual form or the data can just be copied across.</t>
  </si>
  <si>
    <t>"Teams": edit team names and players on each team *once they have been decided*. Everything should automatically update based on the values in this sheet.</t>
  </si>
  <si>
    <t xml:space="preserve">If there are more than five players on a team then, as it is right now, they need to go under one name and share scores... </t>
  </si>
  <si>
    <t>"Box A, B, C": input score data on the day. Give each player the number of points they get for each sport. If playing doubles have it count for both doubles players?</t>
  </si>
  <si>
    <t>Again: all team and player names should automatically update once they are changed in the "Teams" sheet.</t>
  </si>
  <si>
    <t>"Final Scores": the final scores! The data from the "Box A, B, C" sheets is collated and compared with the data from "Signup Form" to match people into clubs.</t>
  </si>
  <si>
    <t>Protected ranges: this is a precautionary measure to prevent accidents... you should be able to edit everything you need.</t>
  </si>
  <si>
    <t>BY CLUB</t>
  </si>
  <si>
    <t>Name</t>
  </si>
  <si>
    <t>Club</t>
  </si>
  <si>
    <t>Sex</t>
  </si>
  <si>
    <t>Tennis Strength</t>
  </si>
  <si>
    <t>Badminton Strength</t>
  </si>
  <si>
    <t>Squash Strength</t>
  </si>
  <si>
    <t>TT Strength</t>
  </si>
  <si>
    <t>John Doe</t>
  </si>
  <si>
    <t>Tennis</t>
  </si>
  <si>
    <t>M</t>
  </si>
  <si>
    <t>Archie</t>
  </si>
  <si>
    <t>Squash</t>
  </si>
  <si>
    <t>NA</t>
  </si>
  <si>
    <t>Bentley</t>
  </si>
  <si>
    <t>Badminton</t>
  </si>
  <si>
    <t>F</t>
  </si>
  <si>
    <t>Tina</t>
  </si>
  <si>
    <t>Other</t>
  </si>
  <si>
    <t>Teams that are determined on the day.</t>
  </si>
  <si>
    <t>Box A</t>
  </si>
  <si>
    <t>Team 1</t>
  </si>
  <si>
    <t>T1P1</t>
  </si>
  <si>
    <t>T1P2</t>
  </si>
  <si>
    <t>T1P3</t>
  </si>
  <si>
    <t>T1P4</t>
  </si>
  <si>
    <t>Team 2</t>
  </si>
  <si>
    <t>T2P1</t>
  </si>
  <si>
    <t>T2P2</t>
  </si>
  <si>
    <t>T2P3</t>
  </si>
  <si>
    <t>T2P4</t>
  </si>
  <si>
    <t>Team 3</t>
  </si>
  <si>
    <t>T3P1</t>
  </si>
  <si>
    <t>T3P2</t>
  </si>
  <si>
    <t>T3P3</t>
  </si>
  <si>
    <t>T3P4</t>
  </si>
  <si>
    <t>Team 4</t>
  </si>
  <si>
    <t>T4P1</t>
  </si>
  <si>
    <t>T4P2</t>
  </si>
  <si>
    <t>T4P3</t>
  </si>
  <si>
    <t>T4P4</t>
  </si>
  <si>
    <t>Box B</t>
  </si>
  <si>
    <t>Team 5</t>
  </si>
  <si>
    <t>T5P1</t>
  </si>
  <si>
    <t>T5P2</t>
  </si>
  <si>
    <t>T5P3</t>
  </si>
  <si>
    <t>T5P4</t>
  </si>
  <si>
    <t>Team 6</t>
  </si>
  <si>
    <t>T6P1</t>
  </si>
  <si>
    <t>T6P2</t>
  </si>
  <si>
    <t>T6P3</t>
  </si>
  <si>
    <t>T6P4</t>
  </si>
  <si>
    <t>Team 7</t>
  </si>
  <si>
    <t>T7P1</t>
  </si>
  <si>
    <t>T7P2</t>
  </si>
  <si>
    <t>T7P3</t>
  </si>
  <si>
    <t>T7P4</t>
  </si>
  <si>
    <t>Team 8</t>
  </si>
  <si>
    <t>T8P1</t>
  </si>
  <si>
    <t>T8P2</t>
  </si>
  <si>
    <t>T8P3</t>
  </si>
  <si>
    <t>T8P4</t>
  </si>
  <si>
    <t>Box C</t>
  </si>
  <si>
    <t>Team 9</t>
  </si>
  <si>
    <t>T9P1</t>
  </si>
  <si>
    <t>T9P2</t>
  </si>
  <si>
    <t>T9P3</t>
  </si>
  <si>
    <t>T9P4</t>
  </si>
  <si>
    <t>Team 10</t>
  </si>
  <si>
    <t>T10P1</t>
  </si>
  <si>
    <t>T10P2</t>
  </si>
  <si>
    <t>T10P3</t>
  </si>
  <si>
    <t>T10P4</t>
  </si>
  <si>
    <t>Team 11</t>
  </si>
  <si>
    <t>T11P1</t>
  </si>
  <si>
    <t>T11P2</t>
  </si>
  <si>
    <t>T11P3</t>
  </si>
  <si>
    <t>T11P4</t>
  </si>
  <si>
    <t>Team 12</t>
  </si>
  <si>
    <t>T12P1</t>
  </si>
  <si>
    <t>T12P2</t>
  </si>
  <si>
    <t>T12P3</t>
  </si>
  <si>
    <t>T12P4</t>
  </si>
  <si>
    <t>BOX A</t>
  </si>
  <si>
    <t>TOTAL SCORES</t>
  </si>
  <si>
    <t>TT</t>
  </si>
  <si>
    <t>Total</t>
  </si>
  <si>
    <t>Name:</t>
  </si>
  <si>
    <t>Points:</t>
  </si>
  <si>
    <t>BOX B</t>
  </si>
  <si>
    <t>BOX C</t>
  </si>
  <si>
    <t>UNSORTED - scroll right for final, sorted results!</t>
  </si>
  <si>
    <t>FINAL RESULTS - TEAMS</t>
  </si>
  <si>
    <t>FINAL RESULTS - PLAYERS</t>
  </si>
  <si>
    <t>FINAL RESULTS - CLUBS</t>
  </si>
  <si>
    <t>Unsorted Teams</t>
  </si>
  <si>
    <t>Unsorted Players</t>
  </si>
  <si>
    <t>Unsorted Clubs</t>
  </si>
  <si>
    <t>Team</t>
  </si>
  <si>
    <t>Points</t>
  </si>
  <si>
    <t>Player</t>
  </si>
  <si>
    <t xml:space="preserve"> 🥇Prize: ???</t>
  </si>
  <si>
    <r>
      <rPr>
        <rFont val="Arial"/>
        <color theme="1"/>
      </rPr>
      <t>🥈</t>
    </r>
    <r>
      <rPr>
        <rFont val="Arial"/>
        <b/>
        <color theme="1"/>
      </rPr>
      <t>Prize: ???</t>
    </r>
  </si>
  <si>
    <r>
      <rPr>
        <rFont val="Arial"/>
        <color theme="1"/>
      </rPr>
      <t>🥈</t>
    </r>
    <r>
      <rPr>
        <rFont val="Arial"/>
        <b/>
        <color theme="1"/>
      </rPr>
      <t>Prize: ???</t>
    </r>
  </si>
  <si>
    <r>
      <rPr>
        <rFont val="Arial"/>
        <color theme="1"/>
      </rPr>
      <t>🥈</t>
    </r>
    <r>
      <rPr>
        <rFont val="Arial"/>
        <b/>
        <color theme="1"/>
      </rPr>
      <t>Prize: ???</t>
    </r>
  </si>
  <si>
    <t>🥉Prize: ???</t>
  </si>
  <si>
    <t>Table Tennis</t>
  </si>
  <si>
    <t>Players</t>
  </si>
  <si>
    <t>Average</t>
  </si>
  <si>
    <t>Courtesy of https://1000randomnames.com/ .</t>
  </si>
  <si>
    <t>Zoe Perry</t>
  </si>
  <si>
    <t>Waylon Valencia</t>
  </si>
  <si>
    <t>Maddison Merritt</t>
  </si>
  <si>
    <t>Colten Mack</t>
  </si>
  <si>
    <t>Nadia McLean</t>
  </si>
  <si>
    <t>Crosby Brandt</t>
  </si>
  <si>
    <t>Loretta Gonzales</t>
  </si>
  <si>
    <t>Brayden Giles</t>
  </si>
  <si>
    <t>Bailee Todd</t>
  </si>
  <si>
    <t>Baylor McKinney</t>
  </si>
  <si>
    <t>Gwendolyn Hickman</t>
  </si>
  <si>
    <t>Jakobe Villegas</t>
  </si>
  <si>
    <t>Jessie Warren</t>
  </si>
  <si>
    <t>Abel Pugh</t>
  </si>
  <si>
    <t>Landry Hartman</t>
  </si>
  <si>
    <t>Baker Hester</t>
  </si>
  <si>
    <t>Zendaya Smith</t>
  </si>
  <si>
    <t>Liam Stevens</t>
  </si>
  <si>
    <t>Katherine Bennett</t>
  </si>
  <si>
    <t>Leonardo Logan</t>
  </si>
  <si>
    <t>Kora Bender</t>
  </si>
  <si>
    <t>Zavier Avalos</t>
  </si>
  <si>
    <t>Paloma Villa</t>
  </si>
  <si>
    <t>Clay Knight</t>
  </si>
  <si>
    <t>Gracie Frye</t>
  </si>
  <si>
    <t>Franco Villanueva</t>
  </si>
  <si>
    <t>Monroe Cano</t>
  </si>
  <si>
    <t>Terry Portillo</t>
  </si>
  <si>
    <t>Nathalie Carlson</t>
  </si>
  <si>
    <t>Paul Mendoza</t>
  </si>
  <si>
    <t>Cora Cohen</t>
  </si>
  <si>
    <t>Killian Roman</t>
  </si>
  <si>
    <t>Astrid Wilkins</t>
  </si>
  <si>
    <t>Yusuf Lopez</t>
  </si>
  <si>
    <t>Gianna Roth</t>
  </si>
  <si>
    <t>Roy Wise</t>
  </si>
  <si>
    <t>Mira Esparza</t>
  </si>
  <si>
    <t>Carl Douglas</t>
  </si>
  <si>
    <t>Aniyah Gillespie</t>
  </si>
  <si>
    <t>Forest Fletcher</t>
  </si>
  <si>
    <t>Anaya Leal</t>
  </si>
  <si>
    <t>Cedric Villalobos</t>
  </si>
  <si>
    <t>Zoya Lane</t>
  </si>
  <si>
    <t>Matias Castro</t>
  </si>
  <si>
    <t>Eloise Garrett</t>
  </si>
  <si>
    <t>Kairo O’Connor</t>
  </si>
  <si>
    <t>Charli Baxter</t>
  </si>
  <si>
    <t>Tomas McKay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</si>
</sst>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sz val="25.0"/>
      <color theme="1"/>
      <name val="Arial"/>
    </font>
    <font>
      <sz val="25.0"/>
      <color theme="1"/>
      <name val="Arial"/>
      <scheme val="minor"/>
    </font>
    <font>
      <b/>
      <sz val="11.0"/>
      <color theme="5"/>
      <name val="Arial"/>
      <scheme val="minor"/>
    </font>
    <font>
      <b/>
      <sz val="11.0"/>
      <color rgb="FFEA4335"/>
      <name val="Arial"/>
    </font>
    <font>
      <color theme="1"/>
      <name val="Arial"/>
    </font>
    <font>
      <b/>
      <sz val="11.0"/>
      <color rgb="FFFF0000"/>
      <name val="Arial"/>
      <scheme val="minor"/>
    </font>
    <font>
      <b/>
      <color theme="1"/>
      <name val="Arial"/>
    </font>
    <font>
      <b/>
      <sz val="11.0"/>
      <color rgb="FFFF0000"/>
      <name val="Arial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color rgb="FF000000"/>
      <name val="Inherit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3">
    <border/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horizontal="center" readingOrder="0"/>
    </xf>
    <xf borderId="0" fillId="0" fontId="3" numFmtId="0" xfId="0" applyFont="1"/>
    <xf borderId="0" fillId="3" fontId="1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5" fontId="5" numFmtId="0" xfId="0" applyAlignment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5" fontId="6" numFmtId="0" xfId="0" applyAlignment="1" applyFont="1">
      <alignment horizontal="center" readingOrder="0" vertical="bottom"/>
    </xf>
    <xf borderId="0" fillId="5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7" fontId="10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2" fontId="6" numFmtId="0" xfId="0" applyAlignment="1" applyFont="1">
      <alignment horizontal="center" readingOrder="0" vertical="bottom"/>
    </xf>
    <xf borderId="0" fillId="8" fontId="10" numFmtId="0" xfId="0" applyAlignment="1" applyFill="1" applyFont="1">
      <alignment vertical="bottom"/>
    </xf>
    <xf borderId="0" fillId="9" fontId="10" numFmtId="0" xfId="0" applyAlignment="1" applyFill="1" applyFont="1">
      <alignment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1" fillId="4" fontId="15" numFmtId="0" xfId="0" applyAlignment="1" applyBorder="1" applyFont="1">
      <alignment horizontal="center" readingOrder="0"/>
    </xf>
    <xf borderId="1" fillId="0" fontId="16" numFmtId="0" xfId="0" applyBorder="1" applyFont="1"/>
    <xf borderId="2" fillId="11" fontId="5" numFmtId="0" xfId="0" applyAlignment="1" applyBorder="1" applyFill="1" applyFont="1">
      <alignment horizontal="center" readingOrder="0"/>
    </xf>
    <xf borderId="2" fillId="0" fontId="16" numFmtId="0" xfId="0" applyBorder="1" applyFont="1"/>
    <xf borderId="0" fillId="6" fontId="3" numFmtId="0" xfId="0" applyAlignment="1" applyFont="1">
      <alignment horizontal="center"/>
    </xf>
    <xf borderId="0" fillId="12" fontId="3" numFmtId="0" xfId="0" applyAlignment="1" applyFill="1" applyFont="1">
      <alignment horizontal="center"/>
    </xf>
    <xf borderId="0" fillId="8" fontId="17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b/>
        <color rgb="FFE06666"/>
      </font>
      <fill>
        <patternFill patternType="none"/>
      </fill>
      <border/>
    </dxf>
  </dxfs>
  <tableStyles count="3">
    <tableStyle count="3" pivot="0" name="Signup Form-style">
      <tableStyleElement dxfId="1" type="headerRow"/>
      <tableStyleElement dxfId="2" type="firstRowStripe"/>
      <tableStyleElement dxfId="3" type="secondRowStripe"/>
    </tableStyle>
    <tableStyle count="3" pivot="0" name="Box_A-style">
      <tableStyleElement dxfId="1" type="headerRow"/>
      <tableStyleElement dxfId="2" type="firstRowStripe"/>
      <tableStyleElement dxfId="3" type="secondRowStripe"/>
    </tableStyle>
    <tableStyle count="3" pivot="0" name="Final Sc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2:J1002" displayName="Table_1" name="Table_1" id="1">
  <tableColumns count="1">
    <tableColumn name="Column1" id="1"/>
  </tableColumns>
  <tableStyleInfo name="Signup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X1:X1000" displayName="Table_2" name="Table_2" id="2">
  <tableColumns count="1">
    <tableColumn name="Column1" id="1"/>
  </tableColumns>
  <tableStyleInfo name="Box_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T1:T1000" displayName="Table_3" name="Table_3" id="3">
  <tableColumns count="1">
    <tableColumn name="Column1" id="1"/>
  </tableColumns>
  <tableStyleInfo name="Final Sc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0.75"/>
  </cols>
  <sheetData>
    <row r="2">
      <c r="B2" s="1" t="s">
        <v>0</v>
      </c>
    </row>
    <row r="5">
      <c r="B5" s="2" t="s">
        <v>1</v>
      </c>
      <c r="S5" s="3"/>
      <c r="T5" s="3"/>
    </row>
    <row r="6">
      <c r="B6" s="2" t="s">
        <v>2</v>
      </c>
      <c r="O6" s="4"/>
      <c r="S6" s="3"/>
      <c r="T6" s="3"/>
    </row>
    <row r="7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S7" s="3"/>
      <c r="T7" s="3"/>
    </row>
    <row r="8">
      <c r="B8" s="2" t="s">
        <v>3</v>
      </c>
      <c r="O8" s="4"/>
      <c r="S8" s="3"/>
      <c r="T8" s="3"/>
    </row>
    <row r="9">
      <c r="B9" s="2" t="s">
        <v>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S9" s="3"/>
      <c r="T9" s="3"/>
    </row>
    <row r="10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S10" s="3"/>
      <c r="T10" s="5"/>
    </row>
    <row r="11">
      <c r="B11" s="2" t="s">
        <v>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B12" s="2" t="s">
        <v>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B14" s="2" t="s">
        <v>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6">
      <c r="B16" s="6" t="s">
        <v>8</v>
      </c>
      <c r="C16" s="7"/>
      <c r="D16" s="7"/>
      <c r="E16" s="7"/>
      <c r="F16" s="7"/>
      <c r="G16" s="7"/>
      <c r="H16" s="7"/>
      <c r="I16" s="7"/>
      <c r="J16" s="7"/>
      <c r="K16" s="7"/>
      <c r="L16" s="7"/>
    </row>
  </sheetData>
  <mergeCells count="5">
    <mergeCell ref="B2:P3"/>
    <mergeCell ref="S3:T3"/>
    <mergeCell ref="B5:Q5"/>
    <mergeCell ref="B6:N6"/>
    <mergeCell ref="B8:N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18.5"/>
    <col customWidth="1" min="4" max="4" width="6.38"/>
    <col customWidth="1" min="5" max="8" width="17.0"/>
    <col customWidth="1" min="10" max="10" width="37.63"/>
    <col customWidth="1" min="12" max="16" width="25.13"/>
  </cols>
  <sheetData>
    <row r="1">
      <c r="A1" s="5"/>
      <c r="B1" s="8"/>
      <c r="C1" s="8"/>
      <c r="D1" s="8"/>
      <c r="E1" s="8"/>
      <c r="F1" s="8"/>
      <c r="G1" s="8"/>
      <c r="H1" s="8"/>
      <c r="I1" s="5"/>
      <c r="J1" s="9"/>
      <c r="K1" s="5"/>
      <c r="L1" s="8"/>
      <c r="M1" s="8"/>
      <c r="N1" s="8"/>
      <c r="O1" s="8"/>
      <c r="P1" s="8"/>
      <c r="Q1" s="5"/>
      <c r="R1" s="5"/>
      <c r="S1" s="5"/>
      <c r="T1" s="5"/>
      <c r="U1" s="5"/>
      <c r="V1" s="5"/>
      <c r="W1" s="5"/>
      <c r="X1" s="5"/>
      <c r="Y1" s="5"/>
    </row>
    <row r="2">
      <c r="A2" s="5"/>
      <c r="B2" s="10" t="str">
        <f>"ALL SIGNUPS: " &amp; COUNTA(B6:B151)</f>
        <v>ALL SIGNUPS: 4</v>
      </c>
      <c r="I2" s="5"/>
      <c r="J2" s="9"/>
      <c r="K2" s="5"/>
      <c r="L2" s="10" t="s">
        <v>9</v>
      </c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I3" s="5"/>
      <c r="J3" s="9"/>
      <c r="K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11"/>
      <c r="C4" s="11"/>
      <c r="D4" s="11"/>
      <c r="E4" s="11"/>
      <c r="F4" s="11"/>
      <c r="G4" s="11"/>
      <c r="H4" s="11"/>
      <c r="I4" s="5"/>
      <c r="J4" s="9"/>
      <c r="K4" s="5"/>
      <c r="L4" s="11"/>
      <c r="M4" s="11"/>
      <c r="N4" s="11"/>
      <c r="O4" s="11"/>
      <c r="P4" s="11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  <c r="H5" s="12" t="s">
        <v>16</v>
      </c>
      <c r="I5" s="5"/>
      <c r="J5" s="9"/>
      <c r="K5" s="5"/>
      <c r="L5" s="13" t="str">
        <f>"Tennis: " &amp; COUNTA(L6:L101)</f>
        <v>Tennis: 1</v>
      </c>
      <c r="M5" s="13" t="str">
        <f>"Badminton: " &amp; COUNTA(M6:M101)</f>
        <v>Badminton: 1</v>
      </c>
      <c r="N5" s="13" t="str">
        <f>"Squash: " &amp; COUNTA(N6:N101)</f>
        <v>Squash: 1</v>
      </c>
      <c r="O5" s="13" t="str">
        <f>"Table Tennis: " &amp; COUNTA(O6:O101)</f>
        <v>Table Tennis: 1</v>
      </c>
      <c r="P5" s="13" t="str">
        <f>"Other: " &amp; COUNTA(P6:P101)</f>
        <v>Other: 1</v>
      </c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3" t="s">
        <v>17</v>
      </c>
      <c r="C6" s="3" t="s">
        <v>18</v>
      </c>
      <c r="D6" s="3" t="s">
        <v>19</v>
      </c>
      <c r="E6" s="3">
        <v>8.0</v>
      </c>
      <c r="F6" s="3">
        <v>5.0</v>
      </c>
      <c r="G6" s="3">
        <v>5.0</v>
      </c>
      <c r="H6" s="3">
        <v>2.0</v>
      </c>
      <c r="I6" s="5"/>
      <c r="J6" s="9"/>
      <c r="K6" s="5"/>
      <c r="L6" s="5" t="str">
        <f>IFERROR(__xludf.DUMMYFUNCTION("FILTER(B3:B1000, C3:C1000 = ""Tennis"")"),"John Doe")</f>
        <v>John Doe</v>
      </c>
      <c r="M6" s="5" t="str">
        <f>IFERROR(__xludf.DUMMYFUNCTION("FILTER(B3:B1000, C3:C1000 = ""Badminton"")"),"Bentley")</f>
        <v>Bentley</v>
      </c>
      <c r="N6" s="5" t="str">
        <f>IFERROR(__xludf.DUMMYFUNCTION("FILTER(B3:B1000, C3:C1000 = ""Squash"")"),"Archie")</f>
        <v>Archie</v>
      </c>
      <c r="O6" s="5" t="str">
        <f>IFERROR(__xludf.DUMMYFUNCTION("FILTER(B3:B1000, C3:C1000 = ""Table Tennis"")"),"#N/A")</f>
        <v>#N/A</v>
      </c>
      <c r="P6" s="5" t="str">
        <f>IFERROR(__xludf.DUMMYFUNCTION("FILTER(B3:B1000, C3:C1000 = ""Other"")"),"Tina")</f>
        <v>Tina</v>
      </c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3" t="s">
        <v>20</v>
      </c>
      <c r="C7" s="3" t="s">
        <v>21</v>
      </c>
      <c r="D7" s="3" t="s">
        <v>22</v>
      </c>
      <c r="E7" s="3">
        <v>5.0</v>
      </c>
      <c r="F7" s="3">
        <v>4.0</v>
      </c>
      <c r="G7" s="3">
        <v>2.0</v>
      </c>
      <c r="H7" s="3">
        <v>1.0</v>
      </c>
      <c r="I7" s="5"/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3" t="s">
        <v>23</v>
      </c>
      <c r="C8" s="3" t="s">
        <v>24</v>
      </c>
      <c r="D8" s="3" t="s">
        <v>25</v>
      </c>
      <c r="E8" s="3">
        <v>7.0</v>
      </c>
      <c r="F8" s="3">
        <v>6.0</v>
      </c>
      <c r="G8" s="3">
        <v>4.0</v>
      </c>
      <c r="H8" s="3">
        <v>2.0</v>
      </c>
      <c r="I8" s="5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3" t="s">
        <v>26</v>
      </c>
      <c r="C9" s="3" t="s">
        <v>27</v>
      </c>
      <c r="D9" s="3" t="s">
        <v>25</v>
      </c>
      <c r="E9" s="3">
        <v>2.0</v>
      </c>
      <c r="F9" s="3">
        <v>3.0</v>
      </c>
      <c r="G9" s="3">
        <v>7.0</v>
      </c>
      <c r="H9" s="3">
        <v>7.0</v>
      </c>
      <c r="I9" s="5"/>
      <c r="J9" s="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3"/>
      <c r="C10" s="3"/>
      <c r="D10" s="3"/>
      <c r="E10" s="5"/>
      <c r="F10" s="5"/>
      <c r="G10" s="5"/>
      <c r="H10" s="5"/>
      <c r="I10" s="5"/>
      <c r="J10" s="9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3"/>
      <c r="C11" s="3"/>
      <c r="D11" s="5"/>
      <c r="E11" s="5"/>
      <c r="F11" s="5"/>
      <c r="G11" s="5"/>
      <c r="H11" s="5"/>
      <c r="I11" s="5"/>
      <c r="J11" s="9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3"/>
      <c r="C12" s="3"/>
      <c r="D12" s="5"/>
      <c r="E12" s="5"/>
      <c r="F12" s="5"/>
      <c r="G12" s="5"/>
      <c r="H12" s="5"/>
      <c r="I12" s="5"/>
      <c r="J12" s="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3"/>
      <c r="C13" s="3"/>
      <c r="D13" s="5"/>
      <c r="E13" s="5"/>
      <c r="F13" s="5"/>
      <c r="G13" s="5"/>
      <c r="H13" s="5"/>
      <c r="I13" s="5"/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3"/>
      <c r="C14" s="3"/>
      <c r="D14" s="5"/>
      <c r="E14" s="5"/>
      <c r="F14" s="5"/>
      <c r="G14" s="5"/>
      <c r="H14" s="5"/>
      <c r="I14" s="5"/>
      <c r="J14" s="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3"/>
      <c r="C15" s="3"/>
      <c r="D15" s="5"/>
      <c r="E15" s="5"/>
      <c r="F15" s="5"/>
      <c r="G15" s="5"/>
      <c r="H15" s="5"/>
      <c r="I15" s="5"/>
      <c r="J15" s="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3"/>
      <c r="C16" s="3"/>
      <c r="D16" s="5"/>
      <c r="E16" s="5"/>
      <c r="F16" s="5"/>
      <c r="G16" s="5"/>
      <c r="H16" s="5"/>
      <c r="I16" s="5"/>
      <c r="J16" s="9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3"/>
      <c r="C17" s="3"/>
      <c r="D17" s="5"/>
      <c r="E17" s="5"/>
      <c r="F17" s="5"/>
      <c r="G17" s="5"/>
      <c r="H17" s="5"/>
      <c r="I17" s="5"/>
      <c r="J17" s="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3"/>
      <c r="C18" s="3"/>
      <c r="D18" s="5"/>
      <c r="E18" s="5"/>
      <c r="F18" s="5"/>
      <c r="G18" s="5"/>
      <c r="H18" s="5"/>
      <c r="I18" s="5"/>
      <c r="J18" s="9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9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9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9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9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9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9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9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9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9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9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9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9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9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9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9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9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9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9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9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9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9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9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9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9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9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9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9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9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9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9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9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9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9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9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9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9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9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9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9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9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9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9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9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9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9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9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9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9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9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9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9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9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9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9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9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9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9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9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9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9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9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9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9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9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9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9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9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9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9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9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9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9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9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9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9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9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9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9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9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9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9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9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9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9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9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9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9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9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9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9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9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9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9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9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9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9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9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</sheetData>
  <mergeCells count="2">
    <mergeCell ref="B2:H3"/>
    <mergeCell ref="L2:P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4" t="s">
        <v>28</v>
      </c>
    </row>
    <row r="4">
      <c r="B4" s="15" t="s">
        <v>29</v>
      </c>
    </row>
    <row r="5"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</row>
    <row r="6"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</row>
    <row r="7"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</row>
    <row r="8"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</row>
    <row r="9">
      <c r="B9" s="5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16" t="s">
        <v>50</v>
      </c>
      <c r="C11" s="5"/>
      <c r="D11" s="5"/>
      <c r="E11" s="5"/>
      <c r="F11" s="5"/>
    </row>
    <row r="12"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</row>
    <row r="13"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</row>
    <row r="14"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</row>
    <row r="15"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</row>
    <row r="16">
      <c r="B16" s="5"/>
      <c r="C16" s="5"/>
      <c r="D16" s="5"/>
      <c r="E16" s="5"/>
      <c r="F16" s="5"/>
    </row>
    <row r="17">
      <c r="B17" s="5"/>
      <c r="C17" s="5"/>
      <c r="D17" s="5"/>
      <c r="E17" s="5"/>
      <c r="F17" s="5"/>
    </row>
    <row r="18">
      <c r="B18" s="17" t="s">
        <v>71</v>
      </c>
      <c r="C18" s="5"/>
      <c r="D18" s="5"/>
      <c r="E18" s="5"/>
      <c r="F18" s="5"/>
    </row>
    <row r="19">
      <c r="B19" s="3" t="s">
        <v>72</v>
      </c>
      <c r="C19" s="3" t="s">
        <v>73</v>
      </c>
      <c r="D19" s="3" t="s">
        <v>74</v>
      </c>
      <c r="E19" s="3" t="s">
        <v>75</v>
      </c>
      <c r="F19" s="3" t="s">
        <v>76</v>
      </c>
    </row>
    <row r="20">
      <c r="B20" s="3" t="s">
        <v>77</v>
      </c>
      <c r="C20" s="3" t="s">
        <v>78</v>
      </c>
      <c r="D20" s="3" t="s">
        <v>79</v>
      </c>
      <c r="E20" s="3" t="s">
        <v>80</v>
      </c>
      <c r="F20" s="3" t="s">
        <v>81</v>
      </c>
    </row>
    <row r="21">
      <c r="B21" s="3" t="s">
        <v>82</v>
      </c>
      <c r="C21" s="3" t="s">
        <v>83</v>
      </c>
      <c r="D21" s="3" t="s">
        <v>84</v>
      </c>
      <c r="E21" s="3" t="s">
        <v>85</v>
      </c>
      <c r="F21" s="3" t="s">
        <v>86</v>
      </c>
    </row>
    <row r="22">
      <c r="B22" s="3" t="s">
        <v>87</v>
      </c>
      <c r="C22" s="3" t="s">
        <v>88</v>
      </c>
      <c r="D22" s="3" t="s">
        <v>89</v>
      </c>
      <c r="E22" s="3" t="s">
        <v>90</v>
      </c>
      <c r="F22" s="3" t="s">
        <v>91</v>
      </c>
    </row>
  </sheetData>
  <mergeCells count="1">
    <mergeCell ref="B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5.75"/>
    <col customWidth="1" min="24" max="24" width="37.63"/>
  </cols>
  <sheetData>
    <row r="1">
      <c r="H1" s="5"/>
      <c r="O1" s="5"/>
      <c r="V1" s="5"/>
      <c r="X1" s="9"/>
    </row>
    <row r="2">
      <c r="A2" s="18" t="s">
        <v>92</v>
      </c>
      <c r="X2" s="9"/>
      <c r="Z2" s="19" t="s">
        <v>93</v>
      </c>
    </row>
    <row r="3">
      <c r="X3" s="9"/>
    </row>
    <row r="4">
      <c r="H4" s="5"/>
      <c r="O4" s="5"/>
      <c r="V4" s="5"/>
      <c r="X4" s="9"/>
    </row>
    <row r="5">
      <c r="A5" s="20" t="str">
        <f>Teams!B5</f>
        <v>Team 1</v>
      </c>
      <c r="C5" s="21" t="str">
        <f>"M1: " &amp; Teams!B6</f>
        <v>M1: Team 2</v>
      </c>
      <c r="D5" s="3" t="s">
        <v>18</v>
      </c>
      <c r="E5" s="3" t="s">
        <v>24</v>
      </c>
      <c r="F5" s="3" t="s">
        <v>21</v>
      </c>
      <c r="G5" s="3" t="s">
        <v>94</v>
      </c>
      <c r="H5" s="3" t="s">
        <v>95</v>
      </c>
      <c r="J5" s="21" t="str">
        <f>"M2: " &amp; Teams!B7</f>
        <v>M2: Team 3</v>
      </c>
      <c r="K5" s="3" t="s">
        <v>18</v>
      </c>
      <c r="L5" s="3" t="s">
        <v>24</v>
      </c>
      <c r="M5" s="3" t="s">
        <v>21</v>
      </c>
      <c r="N5" s="3" t="s">
        <v>94</v>
      </c>
      <c r="O5" s="3" t="s">
        <v>95</v>
      </c>
      <c r="Q5" s="21" t="str">
        <f>"M3: " &amp; Teams!B8</f>
        <v>M3: Team 4</v>
      </c>
      <c r="R5" s="3" t="s">
        <v>18</v>
      </c>
      <c r="S5" s="3" t="s">
        <v>24</v>
      </c>
      <c r="T5" s="3" t="s">
        <v>21</v>
      </c>
      <c r="U5" s="3" t="s">
        <v>94</v>
      </c>
      <c r="V5" s="3" t="s">
        <v>95</v>
      </c>
      <c r="X5" s="9"/>
      <c r="AA5" s="11" t="s">
        <v>96</v>
      </c>
      <c r="AB5" s="11" t="s">
        <v>97</v>
      </c>
    </row>
    <row r="6">
      <c r="C6" s="3" t="str">
        <f>Teams!C5</f>
        <v>T1P1</v>
      </c>
      <c r="D6" s="3"/>
      <c r="E6" s="3"/>
      <c r="F6" s="3"/>
      <c r="G6" s="3"/>
      <c r="H6" s="5">
        <f t="shared" ref="H6:H9" si="1">SUM(D6:G6)</f>
        <v>0</v>
      </c>
      <c r="J6" s="3" t="str">
        <f>Teams!C5</f>
        <v>T1P1</v>
      </c>
      <c r="K6" s="3"/>
      <c r="L6" s="5"/>
      <c r="M6" s="5"/>
      <c r="N6" s="5"/>
      <c r="O6" s="5">
        <f t="shared" ref="O6:O9" si="2">SUM(K6:N6)</f>
        <v>0</v>
      </c>
      <c r="Q6" s="3" t="str">
        <f>Teams!C5</f>
        <v>T1P1</v>
      </c>
      <c r="R6" s="3"/>
      <c r="S6" s="5"/>
      <c r="T6" s="5"/>
      <c r="U6" s="5"/>
      <c r="V6" s="5">
        <f t="shared" ref="V6:V9" si="3">SUM(R6:U6)</f>
        <v>0</v>
      </c>
      <c r="X6" s="9"/>
      <c r="Z6" s="22" t="str">
        <f>Teams!B5</f>
        <v>Team 1</v>
      </c>
      <c r="AA6" s="23" t="str">
        <f>Teams!C5</f>
        <v>T1P1</v>
      </c>
      <c r="AB6" s="5">
        <f t="shared" ref="AB6:AB9" si="4">SUM(H6,O6,V6)</f>
        <v>0</v>
      </c>
    </row>
    <row r="7">
      <c r="C7" s="3" t="str">
        <f>Teams!D5</f>
        <v>T1P2</v>
      </c>
      <c r="D7" s="5"/>
      <c r="E7" s="5"/>
      <c r="F7" s="5"/>
      <c r="G7" s="5"/>
      <c r="H7" s="5">
        <f t="shared" si="1"/>
        <v>0</v>
      </c>
      <c r="J7" s="3" t="str">
        <f>Teams!D5</f>
        <v>T1P2</v>
      </c>
      <c r="K7" s="5"/>
      <c r="L7" s="5"/>
      <c r="M7" s="5"/>
      <c r="N7" s="5"/>
      <c r="O7" s="5">
        <f t="shared" si="2"/>
        <v>0</v>
      </c>
      <c r="Q7" s="3" t="str">
        <f>Teams!D5</f>
        <v>T1P2</v>
      </c>
      <c r="R7" s="5"/>
      <c r="S7" s="5"/>
      <c r="T7" s="5"/>
      <c r="U7" s="5"/>
      <c r="V7" s="5">
        <f t="shared" si="3"/>
        <v>0</v>
      </c>
      <c r="X7" s="9"/>
      <c r="Z7" s="22">
        <f>SUM(AB6:AB9)</f>
        <v>0</v>
      </c>
      <c r="AA7" s="23" t="str">
        <f>Teams!D5</f>
        <v>T1P2</v>
      </c>
      <c r="AB7" s="5">
        <f t="shared" si="4"/>
        <v>0</v>
      </c>
    </row>
    <row r="8">
      <c r="C8" s="3" t="str">
        <f>Teams!E5</f>
        <v>T1P3</v>
      </c>
      <c r="D8" s="5"/>
      <c r="E8" s="5"/>
      <c r="F8" s="5"/>
      <c r="G8" s="5"/>
      <c r="H8" s="5">
        <f t="shared" si="1"/>
        <v>0</v>
      </c>
      <c r="J8" s="3" t="str">
        <f>Teams!E5</f>
        <v>T1P3</v>
      </c>
      <c r="K8" s="5"/>
      <c r="L8" s="5"/>
      <c r="M8" s="5"/>
      <c r="N8" s="5"/>
      <c r="O8" s="5">
        <f t="shared" si="2"/>
        <v>0</v>
      </c>
      <c r="Q8" s="3" t="str">
        <f>Teams!E5</f>
        <v>T1P3</v>
      </c>
      <c r="R8" s="5"/>
      <c r="S8" s="5"/>
      <c r="T8" s="5"/>
      <c r="U8" s="5"/>
      <c r="V8" s="5">
        <f t="shared" si="3"/>
        <v>0</v>
      </c>
      <c r="X8" s="9"/>
      <c r="Z8" s="22"/>
      <c r="AA8" s="23" t="str">
        <f>Teams!E5</f>
        <v>T1P3</v>
      </c>
      <c r="AB8" s="5">
        <f t="shared" si="4"/>
        <v>0</v>
      </c>
    </row>
    <row r="9">
      <c r="C9" s="3" t="str">
        <f>Teams!F5</f>
        <v>T1P4</v>
      </c>
      <c r="D9" s="3"/>
      <c r="E9" s="3"/>
      <c r="F9" s="5"/>
      <c r="G9" s="5"/>
      <c r="H9" s="5">
        <f t="shared" si="1"/>
        <v>0</v>
      </c>
      <c r="J9" s="3" t="str">
        <f>Teams!F5</f>
        <v>T1P4</v>
      </c>
      <c r="K9" s="5"/>
      <c r="L9" s="5"/>
      <c r="M9" s="5"/>
      <c r="N9" s="5"/>
      <c r="O9" s="5">
        <f t="shared" si="2"/>
        <v>0</v>
      </c>
      <c r="Q9" s="3" t="str">
        <f>Teams!F5</f>
        <v>T1P4</v>
      </c>
      <c r="R9" s="5"/>
      <c r="S9" s="5"/>
      <c r="T9" s="5"/>
      <c r="U9" s="5"/>
      <c r="V9" s="5">
        <f t="shared" si="3"/>
        <v>0</v>
      </c>
      <c r="X9" s="9"/>
      <c r="Z9" s="22"/>
      <c r="AA9" s="23" t="str">
        <f>Teams!F5</f>
        <v>T1P4</v>
      </c>
      <c r="AB9" s="5">
        <f t="shared" si="4"/>
        <v>0</v>
      </c>
    </row>
    <row r="10">
      <c r="H10" s="5"/>
      <c r="O10" s="5"/>
      <c r="V10" s="5"/>
      <c r="X10" s="9"/>
      <c r="AA10" s="23" t="str">
        <f>Teams!M4</f>
        <v/>
      </c>
      <c r="AB10" s="5"/>
    </row>
    <row r="11">
      <c r="A11" s="20" t="str">
        <f>Teams!B6</f>
        <v>Team 2</v>
      </c>
      <c r="C11" s="21" t="str">
        <f>"M1: " &amp; Teams!B5</f>
        <v>M1: Team 1</v>
      </c>
      <c r="D11" s="3" t="s">
        <v>18</v>
      </c>
      <c r="E11" s="3" t="s">
        <v>24</v>
      </c>
      <c r="F11" s="3" t="s">
        <v>21</v>
      </c>
      <c r="G11" s="3" t="s">
        <v>94</v>
      </c>
      <c r="H11" s="3" t="s">
        <v>95</v>
      </c>
      <c r="J11" s="21" t="str">
        <f>"M2: " &amp; Teams!B8</f>
        <v>M2: Team 4</v>
      </c>
      <c r="K11" s="3" t="s">
        <v>18</v>
      </c>
      <c r="L11" s="3" t="s">
        <v>24</v>
      </c>
      <c r="M11" s="3" t="s">
        <v>21</v>
      </c>
      <c r="N11" s="3" t="s">
        <v>94</v>
      </c>
      <c r="O11" s="3" t="s">
        <v>95</v>
      </c>
      <c r="Q11" s="21" t="str">
        <f>"M3: " &amp; Teams!B7</f>
        <v>M3: Team 3</v>
      </c>
      <c r="R11" s="3" t="s">
        <v>18</v>
      </c>
      <c r="S11" s="3" t="s">
        <v>24</v>
      </c>
      <c r="T11" s="3" t="s">
        <v>21</v>
      </c>
      <c r="U11" s="3" t="s">
        <v>94</v>
      </c>
      <c r="V11" s="3" t="s">
        <v>95</v>
      </c>
      <c r="X11" s="9"/>
      <c r="Z11" s="22" t="str">
        <f>Teams!B6</f>
        <v>Team 2</v>
      </c>
      <c r="AA11" s="23" t="str">
        <f>Teams!C6</f>
        <v>T2P1</v>
      </c>
      <c r="AB11" s="5">
        <f t="shared" ref="AB11:AB14" si="5">SUM(H12,O12,V12)</f>
        <v>0</v>
      </c>
    </row>
    <row r="12">
      <c r="C12" s="3" t="str">
        <f>Teams!C6</f>
        <v>T2P1</v>
      </c>
      <c r="D12" s="3"/>
      <c r="E12" s="5"/>
      <c r="F12" s="5"/>
      <c r="G12" s="5"/>
      <c r="H12" s="5">
        <f t="shared" ref="H12:H15" si="6">SUM(D12:G12)</f>
        <v>0</v>
      </c>
      <c r="J12" s="3" t="str">
        <f>Teams!C6</f>
        <v>T2P1</v>
      </c>
      <c r="K12" s="3"/>
      <c r="L12" s="5"/>
      <c r="M12" s="5"/>
      <c r="N12" s="5"/>
      <c r="O12" s="5">
        <f t="shared" ref="O12:O15" si="7">SUM(K12:N12)</f>
        <v>0</v>
      </c>
      <c r="Q12" s="3" t="str">
        <f>Teams!C6</f>
        <v>T2P1</v>
      </c>
      <c r="R12" s="3"/>
      <c r="S12" s="5"/>
      <c r="T12" s="5"/>
      <c r="U12" s="5"/>
      <c r="V12" s="5">
        <f t="shared" ref="V12:V15" si="8">SUM(R12:U12)</f>
        <v>0</v>
      </c>
      <c r="X12" s="9"/>
      <c r="Z12" s="20">
        <f>SUM(AB11:AB14)</f>
        <v>0</v>
      </c>
      <c r="AA12" s="23" t="str">
        <f>Teams!D6</f>
        <v>T2P2</v>
      </c>
      <c r="AB12" s="5">
        <f t="shared" si="5"/>
        <v>0</v>
      </c>
    </row>
    <row r="13">
      <c r="C13" s="3" t="str">
        <f>Teams!D6</f>
        <v>T2P2</v>
      </c>
      <c r="D13" s="5"/>
      <c r="E13" s="5"/>
      <c r="F13" s="5"/>
      <c r="G13" s="5"/>
      <c r="H13" s="5">
        <f t="shared" si="6"/>
        <v>0</v>
      </c>
      <c r="J13" s="3" t="str">
        <f>Teams!D6</f>
        <v>T2P2</v>
      </c>
      <c r="K13" s="5"/>
      <c r="L13" s="5"/>
      <c r="M13" s="5"/>
      <c r="N13" s="5"/>
      <c r="O13" s="5">
        <f t="shared" si="7"/>
        <v>0</v>
      </c>
      <c r="Q13" s="3" t="str">
        <f>Teams!D6</f>
        <v>T2P2</v>
      </c>
      <c r="R13" s="5"/>
      <c r="S13" s="5"/>
      <c r="T13" s="5"/>
      <c r="U13" s="5"/>
      <c r="V13" s="5">
        <f t="shared" si="8"/>
        <v>0</v>
      </c>
      <c r="X13" s="9"/>
      <c r="AA13" s="23" t="str">
        <f>Teams!E6</f>
        <v>T2P3</v>
      </c>
      <c r="AB13" s="5">
        <f t="shared" si="5"/>
        <v>0</v>
      </c>
    </row>
    <row r="14">
      <c r="C14" s="3" t="str">
        <f>Teams!E6</f>
        <v>T2P3</v>
      </c>
      <c r="D14" s="5"/>
      <c r="E14" s="5"/>
      <c r="F14" s="5"/>
      <c r="G14" s="5"/>
      <c r="H14" s="5">
        <f t="shared" si="6"/>
        <v>0</v>
      </c>
      <c r="J14" s="3" t="str">
        <f>Teams!E6</f>
        <v>T2P3</v>
      </c>
      <c r="K14" s="5"/>
      <c r="L14" s="5"/>
      <c r="M14" s="5"/>
      <c r="N14" s="5"/>
      <c r="O14" s="5">
        <f t="shared" si="7"/>
        <v>0</v>
      </c>
      <c r="Q14" s="3" t="str">
        <f>Teams!E6</f>
        <v>T2P3</v>
      </c>
      <c r="R14" s="5"/>
      <c r="S14" s="5"/>
      <c r="T14" s="5"/>
      <c r="U14" s="5"/>
      <c r="V14" s="5">
        <f t="shared" si="8"/>
        <v>0</v>
      </c>
      <c r="X14" s="9"/>
      <c r="AA14" s="23" t="str">
        <f>Teams!F6</f>
        <v>T2P4</v>
      </c>
      <c r="AB14" s="5">
        <f t="shared" si="5"/>
        <v>0</v>
      </c>
    </row>
    <row r="15">
      <c r="C15" s="3" t="str">
        <f>Teams!F6</f>
        <v>T2P4</v>
      </c>
      <c r="D15" s="5"/>
      <c r="E15" s="5"/>
      <c r="F15" s="5"/>
      <c r="G15" s="5"/>
      <c r="H15" s="5">
        <f t="shared" si="6"/>
        <v>0</v>
      </c>
      <c r="J15" s="3" t="str">
        <f>Teams!F6</f>
        <v>T2P4</v>
      </c>
      <c r="K15" s="5"/>
      <c r="L15" s="5"/>
      <c r="M15" s="5"/>
      <c r="N15" s="5"/>
      <c r="O15" s="5">
        <f t="shared" si="7"/>
        <v>0</v>
      </c>
      <c r="Q15" s="3" t="str">
        <f>Teams!F6</f>
        <v>T2P4</v>
      </c>
      <c r="R15" s="5"/>
      <c r="S15" s="5"/>
      <c r="T15" s="5"/>
      <c r="U15" s="5"/>
      <c r="V15" s="5">
        <f t="shared" si="8"/>
        <v>0</v>
      </c>
      <c r="X15" s="9"/>
      <c r="AA15" s="23" t="str">
        <f>Teams!N3</f>
        <v/>
      </c>
      <c r="AB15" s="5"/>
    </row>
    <row r="16">
      <c r="H16" s="5"/>
      <c r="O16" s="5"/>
      <c r="V16" s="5"/>
      <c r="X16" s="9"/>
      <c r="Z16" s="22" t="str">
        <f>Teams!B7</f>
        <v>Team 3</v>
      </c>
      <c r="AA16" s="23" t="str">
        <f>Teams!C7</f>
        <v>T3P1</v>
      </c>
      <c r="AB16" s="5">
        <f t="shared" ref="AB16:AB19" si="9">SUM(H18,O18,V18)</f>
        <v>0</v>
      </c>
    </row>
    <row r="17">
      <c r="A17" s="20" t="str">
        <f>Teams!B7</f>
        <v>Team 3</v>
      </c>
      <c r="C17" s="21" t="str">
        <f>"M1: " &amp; Teams!B8</f>
        <v>M1: Team 4</v>
      </c>
      <c r="D17" s="3" t="s">
        <v>18</v>
      </c>
      <c r="E17" s="3" t="s">
        <v>24</v>
      </c>
      <c r="F17" s="3" t="s">
        <v>21</v>
      </c>
      <c r="G17" s="3" t="s">
        <v>94</v>
      </c>
      <c r="H17" s="3" t="s">
        <v>95</v>
      </c>
      <c r="J17" s="21" t="str">
        <f>"M2: " &amp; Teams!B5</f>
        <v>M2: Team 1</v>
      </c>
      <c r="K17" s="3" t="s">
        <v>18</v>
      </c>
      <c r="L17" s="3" t="s">
        <v>24</v>
      </c>
      <c r="M17" s="3" t="s">
        <v>21</v>
      </c>
      <c r="N17" s="3" t="s">
        <v>94</v>
      </c>
      <c r="O17" s="3" t="s">
        <v>95</v>
      </c>
      <c r="Q17" s="21" t="str">
        <f>"M3: " &amp; Teams!B6</f>
        <v>M3: Team 2</v>
      </c>
      <c r="R17" s="3" t="s">
        <v>18</v>
      </c>
      <c r="S17" s="3" t="s">
        <v>24</v>
      </c>
      <c r="T17" s="3" t="s">
        <v>21</v>
      </c>
      <c r="U17" s="3" t="s">
        <v>94</v>
      </c>
      <c r="V17" s="3" t="s">
        <v>95</v>
      </c>
      <c r="X17" s="9"/>
      <c r="Z17" s="24">
        <f>SUM(AB16:AB19)</f>
        <v>0</v>
      </c>
      <c r="AA17" s="23" t="str">
        <f>Teams!D7</f>
        <v>T3P2</v>
      </c>
      <c r="AB17" s="5">
        <f t="shared" si="9"/>
        <v>0</v>
      </c>
    </row>
    <row r="18">
      <c r="C18" s="3" t="str">
        <f>Teams!C7</f>
        <v>T3P1</v>
      </c>
      <c r="D18" s="3"/>
      <c r="E18" s="5"/>
      <c r="F18" s="5"/>
      <c r="G18" s="5"/>
      <c r="H18" s="5">
        <f t="shared" ref="H18:H21" si="10">SUM(D18:G18)</f>
        <v>0</v>
      </c>
      <c r="J18" s="3" t="str">
        <f>Teams!C7</f>
        <v>T3P1</v>
      </c>
      <c r="K18" s="3"/>
      <c r="L18" s="5"/>
      <c r="M18" s="5"/>
      <c r="N18" s="5"/>
      <c r="O18" s="5">
        <f t="shared" ref="O18:O21" si="11">SUM(K18:N18)</f>
        <v>0</v>
      </c>
      <c r="Q18" s="3" t="str">
        <f>Teams!C7</f>
        <v>T3P1</v>
      </c>
      <c r="R18" s="3"/>
      <c r="S18" s="5"/>
      <c r="T18" s="5"/>
      <c r="U18" s="5"/>
      <c r="V18" s="5">
        <f t="shared" ref="V18:V21" si="12">SUM(R18:U18)</f>
        <v>0</v>
      </c>
      <c r="X18" s="9"/>
      <c r="AA18" s="23" t="str">
        <f>Teams!E7</f>
        <v>T3P3</v>
      </c>
      <c r="AB18" s="5">
        <f t="shared" si="9"/>
        <v>0</v>
      </c>
    </row>
    <row r="19">
      <c r="C19" s="3" t="str">
        <f>Teams!D7</f>
        <v>T3P2</v>
      </c>
      <c r="D19" s="5"/>
      <c r="E19" s="5"/>
      <c r="F19" s="5"/>
      <c r="G19" s="5"/>
      <c r="H19" s="5">
        <f t="shared" si="10"/>
        <v>0</v>
      </c>
      <c r="J19" s="3" t="str">
        <f>Teams!D7</f>
        <v>T3P2</v>
      </c>
      <c r="K19" s="5"/>
      <c r="L19" s="5"/>
      <c r="M19" s="5"/>
      <c r="N19" s="5"/>
      <c r="O19" s="5">
        <f t="shared" si="11"/>
        <v>0</v>
      </c>
      <c r="Q19" s="3" t="str">
        <f>Teams!D7</f>
        <v>T3P2</v>
      </c>
      <c r="R19" s="5"/>
      <c r="S19" s="5"/>
      <c r="T19" s="5"/>
      <c r="U19" s="5"/>
      <c r="V19" s="5">
        <f t="shared" si="12"/>
        <v>0</v>
      </c>
      <c r="X19" s="9"/>
      <c r="AA19" s="23" t="str">
        <f>Teams!F7</f>
        <v>T3P4</v>
      </c>
      <c r="AB19" s="5">
        <f t="shared" si="9"/>
        <v>0</v>
      </c>
    </row>
    <row r="20">
      <c r="C20" s="3" t="str">
        <f>Teams!E7</f>
        <v>T3P3</v>
      </c>
      <c r="D20" s="3"/>
      <c r="E20" s="5"/>
      <c r="F20" s="5"/>
      <c r="G20" s="5"/>
      <c r="H20" s="5">
        <f t="shared" si="10"/>
        <v>0</v>
      </c>
      <c r="J20" s="3" t="str">
        <f>Teams!E7</f>
        <v>T3P3</v>
      </c>
      <c r="K20" s="3"/>
      <c r="L20" s="5"/>
      <c r="M20" s="5"/>
      <c r="N20" s="5"/>
      <c r="O20" s="5">
        <f t="shared" si="11"/>
        <v>0</v>
      </c>
      <c r="Q20" s="3" t="str">
        <f>Teams!E7</f>
        <v>T3P3</v>
      </c>
      <c r="R20" s="5"/>
      <c r="S20" s="5"/>
      <c r="T20" s="5"/>
      <c r="U20" s="5"/>
      <c r="V20" s="5">
        <f t="shared" si="12"/>
        <v>0</v>
      </c>
      <c r="X20" s="9"/>
      <c r="AA20" s="23" t="str">
        <f>Teams!O2</f>
        <v/>
      </c>
      <c r="AB20" s="5"/>
    </row>
    <row r="21">
      <c r="C21" s="3" t="str">
        <f>Teams!F7</f>
        <v>T3P4</v>
      </c>
      <c r="D21" s="5"/>
      <c r="E21" s="5"/>
      <c r="F21" s="5"/>
      <c r="G21" s="5"/>
      <c r="H21" s="5">
        <f t="shared" si="10"/>
        <v>0</v>
      </c>
      <c r="J21" s="3" t="str">
        <f>Teams!F7</f>
        <v>T3P4</v>
      </c>
      <c r="K21" s="5"/>
      <c r="L21" s="5"/>
      <c r="M21" s="5"/>
      <c r="N21" s="5"/>
      <c r="O21" s="5">
        <f t="shared" si="11"/>
        <v>0</v>
      </c>
      <c r="Q21" s="3" t="str">
        <f>Teams!F7</f>
        <v>T3P4</v>
      </c>
      <c r="R21" s="5"/>
      <c r="S21" s="5"/>
      <c r="T21" s="5"/>
      <c r="U21" s="5"/>
      <c r="V21" s="5">
        <f t="shared" si="12"/>
        <v>0</v>
      </c>
      <c r="X21" s="9"/>
      <c r="Z21" s="22" t="str">
        <f>Teams!B8</f>
        <v>Team 4</v>
      </c>
      <c r="AA21" s="23" t="str">
        <f>Teams!C8</f>
        <v>T4P1</v>
      </c>
      <c r="AB21" s="5">
        <f t="shared" ref="AB21:AB24" si="13">SUM(H24,O24,V24)</f>
        <v>0</v>
      </c>
    </row>
    <row r="22">
      <c r="H22" s="5"/>
      <c r="O22" s="5"/>
      <c r="V22" s="5"/>
      <c r="X22" s="9"/>
      <c r="Z22" s="20">
        <f>SUM(AB21:AB24)</f>
        <v>0</v>
      </c>
      <c r="AA22" s="5" t="str">
        <f>Teams!D8</f>
        <v>T4P2</v>
      </c>
      <c r="AB22" s="5">
        <f t="shared" si="13"/>
        <v>0</v>
      </c>
    </row>
    <row r="23">
      <c r="A23" s="20" t="str">
        <f>Teams!B8</f>
        <v>Team 4</v>
      </c>
      <c r="C23" s="21" t="str">
        <f>"M1: " &amp; Teams!B7</f>
        <v>M1: Team 3</v>
      </c>
      <c r="D23" s="3" t="s">
        <v>18</v>
      </c>
      <c r="E23" s="3" t="s">
        <v>24</v>
      </c>
      <c r="F23" s="3" t="s">
        <v>21</v>
      </c>
      <c r="G23" s="3" t="s">
        <v>94</v>
      </c>
      <c r="H23" s="3" t="s">
        <v>95</v>
      </c>
      <c r="J23" s="21" t="str">
        <f>"M2: " &amp; Teams!B6</f>
        <v>M2: Team 2</v>
      </c>
      <c r="K23" s="3" t="s">
        <v>18</v>
      </c>
      <c r="L23" s="3" t="s">
        <v>24</v>
      </c>
      <c r="M23" s="3" t="s">
        <v>21</v>
      </c>
      <c r="N23" s="3" t="s">
        <v>94</v>
      </c>
      <c r="O23" s="3" t="s">
        <v>95</v>
      </c>
      <c r="Q23" s="21" t="str">
        <f>"M3: " &amp; Teams!B5</f>
        <v>M3: Team 1</v>
      </c>
      <c r="R23" s="3" t="s">
        <v>18</v>
      </c>
      <c r="S23" s="3" t="s">
        <v>24</v>
      </c>
      <c r="T23" s="3" t="s">
        <v>21</v>
      </c>
      <c r="U23" s="3" t="s">
        <v>94</v>
      </c>
      <c r="V23" s="3" t="s">
        <v>95</v>
      </c>
      <c r="X23" s="9"/>
      <c r="AA23" s="5" t="str">
        <f>Teams!E8</f>
        <v>T4P3</v>
      </c>
      <c r="AB23" s="5">
        <f t="shared" si="13"/>
        <v>0</v>
      </c>
    </row>
    <row r="24">
      <c r="C24" s="3" t="str">
        <f>Teams!C8</f>
        <v>T4P1</v>
      </c>
      <c r="D24" s="3"/>
      <c r="E24" s="5"/>
      <c r="F24" s="5"/>
      <c r="G24" s="5"/>
      <c r="H24" s="5">
        <f t="shared" ref="H24:H27" si="14">SUM(D24:G24)</f>
        <v>0</v>
      </c>
      <c r="J24" s="3" t="str">
        <f>Teams!C8</f>
        <v>T4P1</v>
      </c>
      <c r="K24" s="3"/>
      <c r="L24" s="5"/>
      <c r="M24" s="5"/>
      <c r="N24" s="5"/>
      <c r="O24" s="5">
        <f t="shared" ref="O24:O27" si="15">SUM(K24:N24)</f>
        <v>0</v>
      </c>
      <c r="Q24" s="3" t="str">
        <f>Teams!C8</f>
        <v>T4P1</v>
      </c>
      <c r="R24" s="3"/>
      <c r="S24" s="5"/>
      <c r="T24" s="5"/>
      <c r="U24" s="5"/>
      <c r="V24" s="5">
        <f t="shared" ref="V24:V27" si="16">SUM(R24:U24)</f>
        <v>0</v>
      </c>
      <c r="X24" s="9"/>
      <c r="AA24" s="5" t="str">
        <f>Teams!F8</f>
        <v>T4P4</v>
      </c>
      <c r="AB24" s="5">
        <f t="shared" si="13"/>
        <v>0</v>
      </c>
    </row>
    <row r="25">
      <c r="C25" s="3" t="str">
        <f>Teams!D8</f>
        <v>T4P2</v>
      </c>
      <c r="D25" s="5"/>
      <c r="E25" s="5"/>
      <c r="F25" s="5"/>
      <c r="G25" s="5"/>
      <c r="H25" s="5">
        <f t="shared" si="14"/>
        <v>0</v>
      </c>
      <c r="J25" s="3" t="str">
        <f>Teams!D8</f>
        <v>T4P2</v>
      </c>
      <c r="K25" s="5"/>
      <c r="L25" s="5"/>
      <c r="M25" s="5"/>
      <c r="N25" s="5"/>
      <c r="O25" s="5">
        <f t="shared" si="15"/>
        <v>0</v>
      </c>
      <c r="Q25" s="3" t="str">
        <f>Teams!D8</f>
        <v>T4P2</v>
      </c>
      <c r="R25" s="5"/>
      <c r="S25" s="5"/>
      <c r="T25" s="5"/>
      <c r="U25" s="5"/>
      <c r="V25" s="5">
        <f t="shared" si="16"/>
        <v>0</v>
      </c>
      <c r="X25" s="9"/>
    </row>
    <row r="26">
      <c r="C26" s="3" t="str">
        <f>Teams!E8</f>
        <v>T4P3</v>
      </c>
      <c r="D26" s="5"/>
      <c r="E26" s="5"/>
      <c r="F26" s="5"/>
      <c r="G26" s="5"/>
      <c r="H26" s="5">
        <f t="shared" si="14"/>
        <v>0</v>
      </c>
      <c r="J26" s="3" t="str">
        <f>Teams!E8</f>
        <v>T4P3</v>
      </c>
      <c r="K26" s="5"/>
      <c r="L26" s="5"/>
      <c r="M26" s="5"/>
      <c r="N26" s="5"/>
      <c r="O26" s="5">
        <f t="shared" si="15"/>
        <v>0</v>
      </c>
      <c r="Q26" s="3" t="str">
        <f>Teams!E8</f>
        <v>T4P3</v>
      </c>
      <c r="R26" s="5"/>
      <c r="S26" s="5"/>
      <c r="T26" s="5"/>
      <c r="U26" s="5"/>
      <c r="V26" s="5">
        <f t="shared" si="16"/>
        <v>0</v>
      </c>
      <c r="X26" s="9"/>
    </row>
    <row r="27">
      <c r="C27" s="3" t="str">
        <f>Teams!F8</f>
        <v>T4P4</v>
      </c>
      <c r="D27" s="5"/>
      <c r="E27" s="5"/>
      <c r="F27" s="5"/>
      <c r="G27" s="5"/>
      <c r="H27" s="5">
        <f t="shared" si="14"/>
        <v>0</v>
      </c>
      <c r="J27" s="3" t="str">
        <f>Teams!F8</f>
        <v>T4P4</v>
      </c>
      <c r="K27" s="5"/>
      <c r="L27" s="5"/>
      <c r="M27" s="5"/>
      <c r="N27" s="5"/>
      <c r="O27" s="5">
        <f t="shared" si="15"/>
        <v>0</v>
      </c>
      <c r="Q27" s="3" t="str">
        <f>Teams!F8</f>
        <v>T4P4</v>
      </c>
      <c r="R27" s="5"/>
      <c r="S27" s="5"/>
      <c r="T27" s="5"/>
      <c r="U27" s="5"/>
      <c r="V27" s="5">
        <f t="shared" si="16"/>
        <v>0</v>
      </c>
      <c r="X27" s="9"/>
    </row>
    <row r="28">
      <c r="H28" s="5"/>
      <c r="O28" s="5"/>
      <c r="V28" s="5"/>
      <c r="X28" s="9"/>
    </row>
    <row r="29">
      <c r="H29" s="5"/>
      <c r="O29" s="5"/>
      <c r="V29" s="5"/>
      <c r="X29" s="9"/>
    </row>
    <row r="30">
      <c r="H30" s="5"/>
      <c r="O30" s="5"/>
      <c r="V30" s="5"/>
      <c r="X30" s="9"/>
    </row>
    <row r="31">
      <c r="H31" s="5"/>
      <c r="O31" s="5"/>
      <c r="V31" s="5"/>
      <c r="X31" s="9"/>
    </row>
    <row r="32">
      <c r="H32" s="5"/>
      <c r="O32" s="5"/>
      <c r="V32" s="5"/>
      <c r="X32" s="9"/>
    </row>
    <row r="33">
      <c r="H33" s="5"/>
      <c r="O33" s="5"/>
      <c r="V33" s="5"/>
      <c r="X33" s="9"/>
    </row>
    <row r="34">
      <c r="H34" s="5"/>
      <c r="O34" s="5"/>
      <c r="V34" s="5"/>
      <c r="X34" s="9"/>
    </row>
    <row r="35">
      <c r="H35" s="5"/>
      <c r="O35" s="5"/>
      <c r="V35" s="5"/>
      <c r="X35" s="9"/>
    </row>
    <row r="36">
      <c r="H36" s="5"/>
      <c r="O36" s="5"/>
      <c r="V36" s="5"/>
      <c r="X36" s="9"/>
    </row>
    <row r="37">
      <c r="H37" s="5"/>
      <c r="O37" s="5"/>
      <c r="V37" s="5"/>
      <c r="X37" s="9"/>
    </row>
    <row r="38">
      <c r="H38" s="5"/>
      <c r="O38" s="5"/>
      <c r="V38" s="5"/>
      <c r="X38" s="9"/>
    </row>
    <row r="39">
      <c r="H39" s="5"/>
      <c r="O39" s="5"/>
      <c r="V39" s="5"/>
      <c r="X39" s="9"/>
    </row>
    <row r="40">
      <c r="H40" s="5"/>
      <c r="O40" s="5"/>
      <c r="V40" s="5"/>
      <c r="X40" s="9"/>
    </row>
    <row r="41">
      <c r="H41" s="5"/>
      <c r="O41" s="5"/>
      <c r="V41" s="5"/>
      <c r="X41" s="9"/>
    </row>
    <row r="42">
      <c r="H42" s="5"/>
      <c r="O42" s="5"/>
      <c r="V42" s="5"/>
      <c r="X42" s="9"/>
    </row>
    <row r="43">
      <c r="H43" s="5"/>
      <c r="O43" s="5"/>
      <c r="V43" s="5"/>
      <c r="X43" s="9"/>
    </row>
    <row r="44">
      <c r="H44" s="5"/>
      <c r="O44" s="5"/>
      <c r="V44" s="5"/>
      <c r="X44" s="9"/>
    </row>
    <row r="45">
      <c r="H45" s="5"/>
      <c r="O45" s="5"/>
      <c r="V45" s="5"/>
      <c r="X45" s="9"/>
    </row>
    <row r="46">
      <c r="H46" s="5"/>
      <c r="O46" s="5"/>
      <c r="V46" s="5"/>
      <c r="X46" s="9"/>
    </row>
    <row r="47">
      <c r="H47" s="5"/>
      <c r="O47" s="5"/>
      <c r="V47" s="5"/>
      <c r="X47" s="9"/>
    </row>
    <row r="48">
      <c r="H48" s="5"/>
      <c r="O48" s="5"/>
      <c r="V48" s="5"/>
      <c r="X48" s="9"/>
    </row>
    <row r="49">
      <c r="H49" s="5"/>
      <c r="O49" s="5"/>
      <c r="V49" s="5"/>
      <c r="X49" s="9"/>
    </row>
    <row r="50">
      <c r="H50" s="5"/>
      <c r="O50" s="5"/>
      <c r="V50" s="5"/>
      <c r="X50" s="9"/>
    </row>
    <row r="51">
      <c r="H51" s="5"/>
      <c r="O51" s="5"/>
      <c r="V51" s="5"/>
      <c r="X51" s="9"/>
    </row>
    <row r="52">
      <c r="H52" s="5"/>
      <c r="O52" s="5"/>
      <c r="V52" s="5"/>
      <c r="X52" s="9"/>
    </row>
    <row r="53">
      <c r="H53" s="5"/>
      <c r="O53" s="5"/>
      <c r="V53" s="5"/>
      <c r="X53" s="9"/>
    </row>
    <row r="54">
      <c r="H54" s="5"/>
      <c r="O54" s="5"/>
      <c r="V54" s="5"/>
      <c r="X54" s="9"/>
    </row>
    <row r="55">
      <c r="H55" s="5"/>
      <c r="O55" s="5"/>
      <c r="V55" s="5"/>
      <c r="X55" s="9"/>
    </row>
    <row r="56">
      <c r="H56" s="5"/>
      <c r="O56" s="5"/>
      <c r="V56" s="5"/>
      <c r="X56" s="9"/>
    </row>
    <row r="57">
      <c r="H57" s="5"/>
      <c r="O57" s="5"/>
      <c r="V57" s="5"/>
      <c r="X57" s="9"/>
    </row>
    <row r="58">
      <c r="H58" s="5"/>
      <c r="O58" s="5"/>
      <c r="V58" s="5"/>
      <c r="X58" s="9"/>
    </row>
    <row r="59">
      <c r="H59" s="5"/>
      <c r="O59" s="5"/>
      <c r="V59" s="5"/>
      <c r="X59" s="9"/>
    </row>
    <row r="60">
      <c r="H60" s="5"/>
      <c r="O60" s="5"/>
      <c r="V60" s="5"/>
      <c r="X60" s="9"/>
    </row>
    <row r="61">
      <c r="H61" s="5"/>
      <c r="O61" s="5"/>
      <c r="V61" s="5"/>
      <c r="X61" s="9"/>
    </row>
    <row r="62">
      <c r="H62" s="5"/>
      <c r="O62" s="5"/>
      <c r="V62" s="5"/>
      <c r="X62" s="9"/>
    </row>
    <row r="63">
      <c r="H63" s="5"/>
      <c r="O63" s="5"/>
      <c r="V63" s="5"/>
      <c r="X63" s="9"/>
    </row>
    <row r="64">
      <c r="H64" s="5"/>
      <c r="O64" s="5"/>
      <c r="V64" s="5"/>
      <c r="X64" s="9"/>
    </row>
    <row r="65">
      <c r="H65" s="5"/>
      <c r="O65" s="5"/>
      <c r="V65" s="5"/>
      <c r="X65" s="9"/>
    </row>
    <row r="66">
      <c r="H66" s="5"/>
      <c r="O66" s="5"/>
      <c r="V66" s="5"/>
      <c r="X66" s="9"/>
    </row>
    <row r="67">
      <c r="H67" s="5"/>
      <c r="O67" s="5"/>
      <c r="V67" s="5"/>
      <c r="X67" s="9"/>
    </row>
    <row r="68">
      <c r="H68" s="5"/>
      <c r="O68" s="5"/>
      <c r="V68" s="5"/>
      <c r="X68" s="9"/>
    </row>
    <row r="69">
      <c r="H69" s="5"/>
      <c r="O69" s="5"/>
      <c r="V69" s="5"/>
      <c r="X69" s="9"/>
    </row>
    <row r="70">
      <c r="H70" s="5"/>
      <c r="O70" s="5"/>
      <c r="V70" s="5"/>
      <c r="X70" s="9"/>
    </row>
    <row r="71">
      <c r="H71" s="5"/>
      <c r="O71" s="5"/>
      <c r="V71" s="5"/>
      <c r="X71" s="9"/>
    </row>
    <row r="72">
      <c r="H72" s="5"/>
      <c r="O72" s="5"/>
      <c r="V72" s="5"/>
      <c r="X72" s="9"/>
    </row>
    <row r="73">
      <c r="H73" s="5"/>
      <c r="O73" s="5"/>
      <c r="V73" s="5"/>
      <c r="X73" s="9"/>
    </row>
    <row r="74">
      <c r="H74" s="5"/>
      <c r="O74" s="5"/>
      <c r="V74" s="5"/>
      <c r="X74" s="9"/>
    </row>
    <row r="75">
      <c r="H75" s="5"/>
      <c r="O75" s="5"/>
      <c r="V75" s="5"/>
      <c r="X75" s="9"/>
    </row>
    <row r="76">
      <c r="H76" s="5"/>
      <c r="O76" s="5"/>
      <c r="V76" s="5"/>
      <c r="X76" s="9"/>
    </row>
    <row r="77">
      <c r="H77" s="5"/>
      <c r="O77" s="5"/>
      <c r="V77" s="5"/>
      <c r="X77" s="9"/>
    </row>
    <row r="78">
      <c r="H78" s="5"/>
      <c r="O78" s="5"/>
      <c r="V78" s="5"/>
      <c r="X78" s="9"/>
    </row>
    <row r="79">
      <c r="H79" s="5"/>
      <c r="O79" s="5"/>
      <c r="V79" s="5"/>
      <c r="X79" s="9"/>
    </row>
    <row r="80">
      <c r="H80" s="5"/>
      <c r="O80" s="5"/>
      <c r="V80" s="5"/>
      <c r="X80" s="9"/>
    </row>
    <row r="81">
      <c r="H81" s="5"/>
      <c r="O81" s="5"/>
      <c r="V81" s="5"/>
      <c r="X81" s="9"/>
    </row>
    <row r="82">
      <c r="H82" s="5"/>
      <c r="O82" s="5"/>
      <c r="V82" s="5"/>
      <c r="X82" s="9"/>
    </row>
    <row r="83">
      <c r="H83" s="5"/>
      <c r="O83" s="5"/>
      <c r="V83" s="5"/>
      <c r="X83" s="9"/>
    </row>
    <row r="84">
      <c r="H84" s="5"/>
      <c r="O84" s="5"/>
      <c r="V84" s="5"/>
      <c r="X84" s="9"/>
    </row>
    <row r="85">
      <c r="H85" s="5"/>
      <c r="O85" s="5"/>
      <c r="V85" s="5"/>
      <c r="X85" s="9"/>
    </row>
    <row r="86">
      <c r="H86" s="5"/>
      <c r="O86" s="5"/>
      <c r="V86" s="5"/>
      <c r="X86" s="9"/>
    </row>
    <row r="87">
      <c r="H87" s="5"/>
      <c r="O87" s="5"/>
      <c r="V87" s="5"/>
      <c r="X87" s="9"/>
    </row>
    <row r="88">
      <c r="H88" s="5"/>
      <c r="O88" s="5"/>
      <c r="V88" s="5"/>
      <c r="X88" s="9"/>
    </row>
    <row r="89">
      <c r="H89" s="5"/>
      <c r="O89" s="5"/>
      <c r="V89" s="5"/>
      <c r="X89" s="9"/>
    </row>
    <row r="90">
      <c r="H90" s="5"/>
      <c r="O90" s="5"/>
      <c r="V90" s="5"/>
      <c r="X90" s="9"/>
    </row>
    <row r="91">
      <c r="H91" s="5"/>
      <c r="O91" s="5"/>
      <c r="V91" s="5"/>
      <c r="X91" s="9"/>
    </row>
    <row r="92">
      <c r="H92" s="5"/>
      <c r="O92" s="5"/>
      <c r="V92" s="5"/>
      <c r="X92" s="9"/>
    </row>
    <row r="93">
      <c r="H93" s="5"/>
      <c r="O93" s="5"/>
      <c r="V93" s="5"/>
      <c r="X93" s="9"/>
    </row>
    <row r="94">
      <c r="H94" s="5"/>
      <c r="O94" s="5"/>
      <c r="V94" s="5"/>
      <c r="X94" s="9"/>
    </row>
    <row r="95">
      <c r="H95" s="5"/>
      <c r="O95" s="5"/>
      <c r="V95" s="5"/>
      <c r="X95" s="9"/>
    </row>
    <row r="96">
      <c r="H96" s="5"/>
      <c r="O96" s="5"/>
      <c r="V96" s="5"/>
      <c r="X96" s="9"/>
    </row>
    <row r="97">
      <c r="H97" s="5"/>
      <c r="O97" s="5"/>
      <c r="V97" s="5"/>
      <c r="X97" s="9"/>
    </row>
    <row r="98">
      <c r="H98" s="5"/>
      <c r="O98" s="5"/>
      <c r="V98" s="5"/>
      <c r="X98" s="9"/>
    </row>
    <row r="99">
      <c r="H99" s="5"/>
      <c r="O99" s="5"/>
      <c r="V99" s="5"/>
      <c r="X99" s="9"/>
    </row>
    <row r="100">
      <c r="H100" s="5"/>
      <c r="O100" s="5"/>
      <c r="V100" s="5"/>
      <c r="X100" s="9"/>
    </row>
    <row r="101">
      <c r="H101" s="5"/>
      <c r="O101" s="5"/>
      <c r="V101" s="5"/>
      <c r="X101" s="9"/>
    </row>
    <row r="102">
      <c r="H102" s="5"/>
      <c r="O102" s="5"/>
      <c r="V102" s="5"/>
      <c r="X102" s="9"/>
    </row>
    <row r="103">
      <c r="H103" s="5"/>
      <c r="O103" s="5"/>
      <c r="V103" s="5"/>
      <c r="X103" s="9"/>
    </row>
    <row r="104">
      <c r="H104" s="5"/>
      <c r="O104" s="5"/>
      <c r="V104" s="5"/>
      <c r="X104" s="9"/>
    </row>
    <row r="105">
      <c r="H105" s="5"/>
      <c r="O105" s="5"/>
      <c r="V105" s="5"/>
      <c r="X105" s="9"/>
    </row>
    <row r="106">
      <c r="H106" s="5"/>
      <c r="O106" s="5"/>
      <c r="V106" s="5"/>
      <c r="X106" s="9"/>
    </row>
    <row r="107">
      <c r="H107" s="5"/>
      <c r="O107" s="5"/>
      <c r="V107" s="5"/>
      <c r="X107" s="9"/>
    </row>
    <row r="108">
      <c r="H108" s="5"/>
      <c r="O108" s="5"/>
      <c r="V108" s="5"/>
      <c r="X108" s="9"/>
    </row>
    <row r="109">
      <c r="H109" s="5"/>
      <c r="O109" s="5"/>
      <c r="V109" s="5"/>
      <c r="X109" s="9"/>
    </row>
    <row r="110">
      <c r="H110" s="5"/>
      <c r="O110" s="5"/>
      <c r="V110" s="5"/>
      <c r="X110" s="9"/>
    </row>
    <row r="111">
      <c r="H111" s="5"/>
      <c r="O111" s="5"/>
      <c r="V111" s="5"/>
      <c r="X111" s="9"/>
    </row>
    <row r="112">
      <c r="H112" s="5"/>
      <c r="O112" s="5"/>
      <c r="V112" s="5"/>
      <c r="X112" s="9"/>
    </row>
    <row r="113">
      <c r="H113" s="5"/>
      <c r="O113" s="5"/>
      <c r="V113" s="5"/>
      <c r="X113" s="9"/>
    </row>
    <row r="114">
      <c r="H114" s="5"/>
      <c r="O114" s="5"/>
      <c r="V114" s="5"/>
      <c r="X114" s="9"/>
    </row>
    <row r="115">
      <c r="H115" s="5"/>
      <c r="O115" s="5"/>
      <c r="V115" s="5"/>
      <c r="X115" s="9"/>
    </row>
    <row r="116">
      <c r="H116" s="5"/>
      <c r="O116" s="5"/>
      <c r="V116" s="5"/>
      <c r="X116" s="9"/>
    </row>
    <row r="117">
      <c r="H117" s="5"/>
      <c r="O117" s="5"/>
      <c r="V117" s="5"/>
      <c r="X117" s="9"/>
    </row>
    <row r="118">
      <c r="H118" s="5"/>
      <c r="O118" s="5"/>
      <c r="V118" s="5"/>
      <c r="X118" s="9"/>
    </row>
    <row r="119">
      <c r="H119" s="5"/>
      <c r="O119" s="5"/>
      <c r="V119" s="5"/>
      <c r="X119" s="9"/>
    </row>
    <row r="120">
      <c r="H120" s="5"/>
      <c r="O120" s="5"/>
      <c r="V120" s="5"/>
      <c r="X120" s="9"/>
    </row>
    <row r="121">
      <c r="H121" s="5"/>
      <c r="O121" s="5"/>
      <c r="V121" s="5"/>
      <c r="X121" s="9"/>
    </row>
    <row r="122">
      <c r="H122" s="5"/>
      <c r="O122" s="5"/>
      <c r="V122" s="5"/>
      <c r="X122" s="9"/>
    </row>
    <row r="123">
      <c r="H123" s="5"/>
      <c r="O123" s="5"/>
      <c r="V123" s="5"/>
      <c r="X123" s="9"/>
    </row>
    <row r="124">
      <c r="H124" s="5"/>
      <c r="O124" s="5"/>
      <c r="V124" s="5"/>
      <c r="X124" s="9"/>
    </row>
    <row r="125">
      <c r="H125" s="5"/>
      <c r="O125" s="5"/>
      <c r="V125" s="5"/>
      <c r="X125" s="9"/>
    </row>
    <row r="126">
      <c r="H126" s="5"/>
      <c r="O126" s="5"/>
      <c r="V126" s="5"/>
      <c r="X126" s="9"/>
    </row>
    <row r="127">
      <c r="H127" s="5"/>
      <c r="O127" s="5"/>
      <c r="V127" s="5"/>
      <c r="X127" s="9"/>
    </row>
    <row r="128">
      <c r="H128" s="5"/>
      <c r="O128" s="5"/>
      <c r="V128" s="5"/>
      <c r="X128" s="9"/>
    </row>
    <row r="129">
      <c r="H129" s="5"/>
      <c r="O129" s="5"/>
      <c r="V129" s="5"/>
      <c r="X129" s="9"/>
    </row>
    <row r="130">
      <c r="H130" s="5"/>
      <c r="O130" s="5"/>
      <c r="V130" s="5"/>
      <c r="X130" s="9"/>
    </row>
    <row r="131">
      <c r="H131" s="5"/>
      <c r="O131" s="5"/>
      <c r="V131" s="5"/>
      <c r="X131" s="9"/>
    </row>
    <row r="132">
      <c r="H132" s="5"/>
      <c r="O132" s="5"/>
      <c r="V132" s="5"/>
      <c r="X132" s="9"/>
    </row>
    <row r="133">
      <c r="H133" s="5"/>
      <c r="O133" s="5"/>
      <c r="V133" s="5"/>
      <c r="X133" s="9"/>
    </row>
    <row r="134">
      <c r="H134" s="5"/>
      <c r="O134" s="5"/>
      <c r="V134" s="5"/>
      <c r="X134" s="9"/>
    </row>
    <row r="135">
      <c r="H135" s="5"/>
      <c r="O135" s="5"/>
      <c r="V135" s="5"/>
      <c r="X135" s="9"/>
    </row>
    <row r="136">
      <c r="H136" s="5"/>
      <c r="O136" s="5"/>
      <c r="V136" s="5"/>
      <c r="X136" s="9"/>
    </row>
    <row r="137">
      <c r="H137" s="5"/>
      <c r="O137" s="5"/>
      <c r="V137" s="5"/>
      <c r="X137" s="9"/>
    </row>
    <row r="138">
      <c r="H138" s="5"/>
      <c r="O138" s="5"/>
      <c r="V138" s="5"/>
      <c r="X138" s="9"/>
    </row>
    <row r="139">
      <c r="H139" s="5"/>
      <c r="O139" s="5"/>
      <c r="V139" s="5"/>
      <c r="X139" s="9"/>
    </row>
    <row r="140">
      <c r="H140" s="5"/>
      <c r="O140" s="5"/>
      <c r="V140" s="5"/>
      <c r="X140" s="9"/>
    </row>
    <row r="141">
      <c r="H141" s="5"/>
      <c r="O141" s="5"/>
      <c r="V141" s="5"/>
      <c r="X141" s="9"/>
    </row>
    <row r="142">
      <c r="H142" s="5"/>
      <c r="O142" s="5"/>
      <c r="V142" s="5"/>
      <c r="X142" s="9"/>
    </row>
    <row r="143">
      <c r="H143" s="5"/>
      <c r="O143" s="5"/>
      <c r="V143" s="5"/>
      <c r="X143" s="9"/>
    </row>
    <row r="144">
      <c r="H144" s="5"/>
      <c r="O144" s="5"/>
      <c r="V144" s="5"/>
      <c r="X144" s="9"/>
    </row>
    <row r="145">
      <c r="H145" s="5"/>
      <c r="O145" s="5"/>
      <c r="V145" s="5"/>
      <c r="X145" s="9"/>
    </row>
    <row r="146">
      <c r="H146" s="5"/>
      <c r="O146" s="5"/>
      <c r="V146" s="5"/>
      <c r="X146" s="9"/>
    </row>
    <row r="147">
      <c r="H147" s="5"/>
      <c r="O147" s="5"/>
      <c r="V147" s="5"/>
      <c r="X147" s="9"/>
    </row>
    <row r="148">
      <c r="H148" s="5"/>
      <c r="O148" s="5"/>
      <c r="V148" s="5"/>
      <c r="X148" s="9"/>
    </row>
    <row r="149">
      <c r="H149" s="5"/>
      <c r="O149" s="5"/>
      <c r="V149" s="5"/>
      <c r="X149" s="9"/>
    </row>
    <row r="150">
      <c r="H150" s="5"/>
      <c r="O150" s="5"/>
      <c r="V150" s="5"/>
      <c r="X150" s="9"/>
    </row>
    <row r="151">
      <c r="H151" s="5"/>
      <c r="O151" s="5"/>
      <c r="V151" s="5"/>
      <c r="X151" s="9"/>
    </row>
    <row r="152">
      <c r="H152" s="5"/>
      <c r="O152" s="5"/>
      <c r="V152" s="5"/>
      <c r="X152" s="9"/>
    </row>
    <row r="153">
      <c r="H153" s="5"/>
      <c r="O153" s="5"/>
      <c r="V153" s="5"/>
      <c r="X153" s="9"/>
    </row>
    <row r="154">
      <c r="H154" s="5"/>
      <c r="O154" s="5"/>
      <c r="V154" s="5"/>
      <c r="X154" s="9"/>
    </row>
    <row r="155">
      <c r="H155" s="5"/>
      <c r="O155" s="5"/>
      <c r="V155" s="5"/>
      <c r="X155" s="9"/>
    </row>
    <row r="156">
      <c r="H156" s="5"/>
      <c r="O156" s="5"/>
      <c r="V156" s="5"/>
      <c r="X156" s="9"/>
    </row>
    <row r="157">
      <c r="H157" s="5"/>
      <c r="O157" s="5"/>
      <c r="V157" s="5"/>
      <c r="X157" s="9"/>
    </row>
    <row r="158">
      <c r="H158" s="5"/>
      <c r="O158" s="5"/>
      <c r="V158" s="5"/>
      <c r="X158" s="9"/>
    </row>
    <row r="159">
      <c r="H159" s="5"/>
      <c r="O159" s="5"/>
      <c r="V159" s="5"/>
      <c r="X159" s="9"/>
    </row>
    <row r="160">
      <c r="H160" s="5"/>
      <c r="O160" s="5"/>
      <c r="V160" s="5"/>
      <c r="X160" s="9"/>
    </row>
    <row r="161">
      <c r="H161" s="5"/>
      <c r="O161" s="5"/>
      <c r="V161" s="5"/>
      <c r="X161" s="9"/>
    </row>
    <row r="162">
      <c r="H162" s="5"/>
      <c r="O162" s="5"/>
      <c r="V162" s="5"/>
      <c r="X162" s="9"/>
    </row>
    <row r="163">
      <c r="H163" s="5"/>
      <c r="O163" s="5"/>
      <c r="V163" s="5"/>
      <c r="X163" s="9"/>
    </row>
    <row r="164">
      <c r="H164" s="5"/>
      <c r="O164" s="5"/>
      <c r="V164" s="5"/>
      <c r="X164" s="9"/>
    </row>
    <row r="165">
      <c r="H165" s="5"/>
      <c r="O165" s="5"/>
      <c r="V165" s="5"/>
      <c r="X165" s="9"/>
    </row>
    <row r="166">
      <c r="H166" s="5"/>
      <c r="O166" s="5"/>
      <c r="V166" s="5"/>
      <c r="X166" s="9"/>
    </row>
    <row r="167">
      <c r="H167" s="5"/>
      <c r="O167" s="5"/>
      <c r="V167" s="5"/>
      <c r="X167" s="9"/>
    </row>
    <row r="168">
      <c r="H168" s="5"/>
      <c r="O168" s="5"/>
      <c r="V168" s="5"/>
      <c r="X168" s="9"/>
    </row>
    <row r="169">
      <c r="H169" s="5"/>
      <c r="O169" s="5"/>
      <c r="V169" s="5"/>
      <c r="X169" s="9"/>
    </row>
    <row r="170">
      <c r="H170" s="5"/>
      <c r="O170" s="5"/>
      <c r="V170" s="5"/>
      <c r="X170" s="9"/>
    </row>
    <row r="171">
      <c r="H171" s="5"/>
      <c r="O171" s="5"/>
      <c r="V171" s="5"/>
      <c r="X171" s="9"/>
    </row>
    <row r="172">
      <c r="H172" s="5"/>
      <c r="O172" s="5"/>
      <c r="V172" s="5"/>
      <c r="X172" s="9"/>
    </row>
    <row r="173">
      <c r="H173" s="5"/>
      <c r="O173" s="5"/>
      <c r="V173" s="5"/>
      <c r="X173" s="9"/>
    </row>
    <row r="174">
      <c r="H174" s="5"/>
      <c r="O174" s="5"/>
      <c r="V174" s="5"/>
      <c r="X174" s="9"/>
    </row>
    <row r="175">
      <c r="H175" s="5"/>
      <c r="O175" s="5"/>
      <c r="V175" s="5"/>
      <c r="X175" s="9"/>
    </row>
    <row r="176">
      <c r="H176" s="5"/>
      <c r="O176" s="5"/>
      <c r="V176" s="5"/>
      <c r="X176" s="9"/>
    </row>
    <row r="177">
      <c r="H177" s="5"/>
      <c r="O177" s="5"/>
      <c r="V177" s="5"/>
      <c r="X177" s="9"/>
    </row>
    <row r="178">
      <c r="H178" s="5"/>
      <c r="O178" s="5"/>
      <c r="V178" s="5"/>
      <c r="X178" s="9"/>
    </row>
    <row r="179">
      <c r="H179" s="5"/>
      <c r="O179" s="5"/>
      <c r="V179" s="5"/>
      <c r="X179" s="9"/>
    </row>
    <row r="180">
      <c r="H180" s="5"/>
      <c r="O180" s="5"/>
      <c r="V180" s="5"/>
      <c r="X180" s="9"/>
    </row>
    <row r="181">
      <c r="H181" s="5"/>
      <c r="O181" s="5"/>
      <c r="V181" s="5"/>
      <c r="X181" s="9"/>
    </row>
    <row r="182">
      <c r="H182" s="5"/>
      <c r="O182" s="5"/>
      <c r="V182" s="5"/>
      <c r="X182" s="9"/>
    </row>
    <row r="183">
      <c r="H183" s="5"/>
      <c r="O183" s="5"/>
      <c r="V183" s="5"/>
      <c r="X183" s="9"/>
    </row>
    <row r="184">
      <c r="H184" s="5"/>
      <c r="O184" s="5"/>
      <c r="V184" s="5"/>
      <c r="X184" s="9"/>
    </row>
    <row r="185">
      <c r="H185" s="5"/>
      <c r="O185" s="5"/>
      <c r="V185" s="5"/>
      <c r="X185" s="9"/>
    </row>
    <row r="186">
      <c r="H186" s="5"/>
      <c r="O186" s="5"/>
      <c r="V186" s="5"/>
      <c r="X186" s="9"/>
    </row>
    <row r="187">
      <c r="H187" s="5"/>
      <c r="O187" s="5"/>
      <c r="V187" s="5"/>
      <c r="X187" s="9"/>
    </row>
    <row r="188">
      <c r="H188" s="5"/>
      <c r="O188" s="5"/>
      <c r="V188" s="5"/>
      <c r="X188" s="9"/>
    </row>
    <row r="189">
      <c r="H189" s="5"/>
      <c r="O189" s="5"/>
      <c r="V189" s="5"/>
      <c r="X189" s="9"/>
    </row>
    <row r="190">
      <c r="H190" s="5"/>
      <c r="O190" s="5"/>
      <c r="V190" s="5"/>
      <c r="X190" s="9"/>
    </row>
    <row r="191">
      <c r="H191" s="5"/>
      <c r="O191" s="5"/>
      <c r="V191" s="5"/>
      <c r="X191" s="9"/>
    </row>
    <row r="192">
      <c r="H192" s="5"/>
      <c r="O192" s="5"/>
      <c r="V192" s="5"/>
      <c r="X192" s="9"/>
    </row>
    <row r="193">
      <c r="H193" s="5"/>
      <c r="O193" s="5"/>
      <c r="V193" s="5"/>
      <c r="X193" s="9"/>
    </row>
    <row r="194">
      <c r="H194" s="5"/>
      <c r="O194" s="5"/>
      <c r="V194" s="5"/>
      <c r="X194" s="9"/>
    </row>
    <row r="195">
      <c r="H195" s="5"/>
      <c r="O195" s="5"/>
      <c r="V195" s="5"/>
      <c r="X195" s="9"/>
    </row>
    <row r="196">
      <c r="H196" s="5"/>
      <c r="O196" s="5"/>
      <c r="V196" s="5"/>
      <c r="X196" s="9"/>
    </row>
    <row r="197">
      <c r="H197" s="5"/>
      <c r="O197" s="5"/>
      <c r="V197" s="5"/>
      <c r="X197" s="9"/>
    </row>
    <row r="198">
      <c r="H198" s="5"/>
      <c r="O198" s="5"/>
      <c r="V198" s="5"/>
      <c r="X198" s="9"/>
    </row>
    <row r="199">
      <c r="H199" s="5"/>
      <c r="O199" s="5"/>
      <c r="V199" s="5"/>
      <c r="X199" s="9"/>
    </row>
    <row r="200">
      <c r="H200" s="5"/>
      <c r="O200" s="5"/>
      <c r="V200" s="5"/>
      <c r="X200" s="9"/>
    </row>
    <row r="201">
      <c r="H201" s="5"/>
      <c r="O201" s="5"/>
      <c r="V201" s="5"/>
      <c r="X201" s="9"/>
    </row>
    <row r="202">
      <c r="H202" s="5"/>
      <c r="O202" s="5"/>
      <c r="V202" s="5"/>
      <c r="X202" s="9"/>
    </row>
    <row r="203">
      <c r="H203" s="5"/>
      <c r="O203" s="5"/>
      <c r="V203" s="5"/>
      <c r="X203" s="9"/>
    </row>
    <row r="204">
      <c r="H204" s="5"/>
      <c r="O204" s="5"/>
      <c r="V204" s="5"/>
      <c r="X204" s="9"/>
    </row>
    <row r="205">
      <c r="H205" s="5"/>
      <c r="O205" s="5"/>
      <c r="V205" s="5"/>
      <c r="X205" s="9"/>
    </row>
    <row r="206">
      <c r="H206" s="5"/>
      <c r="O206" s="5"/>
      <c r="V206" s="5"/>
      <c r="X206" s="9"/>
    </row>
    <row r="207">
      <c r="H207" s="5"/>
      <c r="O207" s="5"/>
      <c r="V207" s="5"/>
      <c r="X207" s="9"/>
    </row>
    <row r="208">
      <c r="H208" s="5"/>
      <c r="O208" s="5"/>
      <c r="V208" s="5"/>
      <c r="X208" s="9"/>
    </row>
    <row r="209">
      <c r="H209" s="5"/>
      <c r="O209" s="5"/>
      <c r="V209" s="5"/>
      <c r="X209" s="9"/>
    </row>
    <row r="210">
      <c r="H210" s="5"/>
      <c r="O210" s="5"/>
      <c r="V210" s="5"/>
      <c r="X210" s="9"/>
    </row>
    <row r="211">
      <c r="H211" s="5"/>
      <c r="O211" s="5"/>
      <c r="V211" s="5"/>
      <c r="X211" s="9"/>
    </row>
    <row r="212">
      <c r="H212" s="5"/>
      <c r="O212" s="5"/>
      <c r="V212" s="5"/>
      <c r="X212" s="9"/>
    </row>
    <row r="213">
      <c r="H213" s="5"/>
      <c r="O213" s="5"/>
      <c r="V213" s="5"/>
      <c r="X213" s="9"/>
    </row>
    <row r="214">
      <c r="H214" s="5"/>
      <c r="O214" s="5"/>
      <c r="V214" s="5"/>
      <c r="X214" s="9"/>
    </row>
    <row r="215">
      <c r="H215" s="5"/>
      <c r="O215" s="5"/>
      <c r="V215" s="5"/>
      <c r="X215" s="9"/>
    </row>
    <row r="216">
      <c r="H216" s="5"/>
      <c r="O216" s="5"/>
      <c r="V216" s="5"/>
      <c r="X216" s="9"/>
    </row>
    <row r="217">
      <c r="H217" s="5"/>
      <c r="O217" s="5"/>
      <c r="V217" s="5"/>
      <c r="X217" s="9"/>
    </row>
    <row r="218">
      <c r="H218" s="5"/>
      <c r="O218" s="5"/>
      <c r="V218" s="5"/>
      <c r="X218" s="9"/>
    </row>
    <row r="219">
      <c r="H219" s="5"/>
      <c r="O219" s="5"/>
      <c r="V219" s="5"/>
      <c r="X219" s="9"/>
    </row>
    <row r="220">
      <c r="H220" s="5"/>
      <c r="O220" s="5"/>
      <c r="V220" s="5"/>
      <c r="X220" s="9"/>
    </row>
    <row r="221">
      <c r="H221" s="5"/>
      <c r="O221" s="5"/>
      <c r="V221" s="5"/>
      <c r="X221" s="9"/>
    </row>
    <row r="222">
      <c r="H222" s="5"/>
      <c r="O222" s="5"/>
      <c r="V222" s="5"/>
      <c r="X222" s="9"/>
    </row>
    <row r="223">
      <c r="H223" s="5"/>
      <c r="O223" s="5"/>
      <c r="V223" s="5"/>
      <c r="X223" s="9"/>
    </row>
    <row r="224">
      <c r="H224" s="5"/>
      <c r="O224" s="5"/>
      <c r="V224" s="5"/>
      <c r="X224" s="9"/>
    </row>
    <row r="225">
      <c r="H225" s="5"/>
      <c r="O225" s="5"/>
      <c r="V225" s="5"/>
      <c r="X225" s="9"/>
    </row>
    <row r="226">
      <c r="H226" s="5"/>
      <c r="O226" s="5"/>
      <c r="V226" s="5"/>
      <c r="X226" s="9"/>
    </row>
    <row r="227">
      <c r="H227" s="5"/>
      <c r="O227" s="5"/>
      <c r="V227" s="5"/>
      <c r="X227" s="9"/>
    </row>
    <row r="228">
      <c r="H228" s="5"/>
      <c r="O228" s="5"/>
      <c r="V228" s="5"/>
      <c r="X228" s="9"/>
    </row>
    <row r="229">
      <c r="H229" s="5"/>
      <c r="O229" s="5"/>
      <c r="V229" s="5"/>
      <c r="X229" s="9"/>
    </row>
    <row r="230">
      <c r="H230" s="5"/>
      <c r="O230" s="5"/>
      <c r="V230" s="5"/>
      <c r="X230" s="9"/>
    </row>
    <row r="231">
      <c r="H231" s="5"/>
      <c r="O231" s="5"/>
      <c r="V231" s="5"/>
      <c r="X231" s="9"/>
    </row>
    <row r="232">
      <c r="H232" s="5"/>
      <c r="O232" s="5"/>
      <c r="V232" s="5"/>
      <c r="X232" s="9"/>
    </row>
    <row r="233">
      <c r="H233" s="5"/>
      <c r="O233" s="5"/>
      <c r="V233" s="5"/>
      <c r="X233" s="9"/>
    </row>
    <row r="234">
      <c r="H234" s="5"/>
      <c r="O234" s="5"/>
      <c r="V234" s="5"/>
      <c r="X234" s="9"/>
    </row>
    <row r="235">
      <c r="H235" s="5"/>
      <c r="O235" s="5"/>
      <c r="V235" s="5"/>
      <c r="X235" s="9"/>
    </row>
    <row r="236">
      <c r="H236" s="5"/>
      <c r="O236" s="5"/>
      <c r="V236" s="5"/>
      <c r="X236" s="9"/>
    </row>
    <row r="237">
      <c r="H237" s="5"/>
      <c r="O237" s="5"/>
      <c r="V237" s="5"/>
      <c r="X237" s="9"/>
    </row>
    <row r="238">
      <c r="H238" s="5"/>
      <c r="O238" s="5"/>
      <c r="V238" s="5"/>
      <c r="X238" s="9"/>
    </row>
    <row r="239">
      <c r="H239" s="5"/>
      <c r="O239" s="5"/>
      <c r="V239" s="5"/>
      <c r="X239" s="9"/>
    </row>
    <row r="240">
      <c r="H240" s="5"/>
      <c r="O240" s="5"/>
      <c r="V240" s="5"/>
      <c r="X240" s="9"/>
    </row>
    <row r="241">
      <c r="H241" s="5"/>
      <c r="O241" s="5"/>
      <c r="V241" s="5"/>
      <c r="X241" s="9"/>
    </row>
    <row r="242">
      <c r="H242" s="5"/>
      <c r="O242" s="5"/>
      <c r="V242" s="5"/>
      <c r="X242" s="9"/>
    </row>
    <row r="243">
      <c r="H243" s="5"/>
      <c r="O243" s="5"/>
      <c r="V243" s="5"/>
      <c r="X243" s="9"/>
    </row>
    <row r="244">
      <c r="H244" s="5"/>
      <c r="O244" s="5"/>
      <c r="V244" s="5"/>
      <c r="X244" s="9"/>
    </row>
    <row r="245">
      <c r="H245" s="5"/>
      <c r="O245" s="5"/>
      <c r="V245" s="5"/>
      <c r="X245" s="9"/>
    </row>
    <row r="246">
      <c r="H246" s="5"/>
      <c r="O246" s="5"/>
      <c r="V246" s="5"/>
      <c r="X246" s="9"/>
    </row>
    <row r="247">
      <c r="H247" s="5"/>
      <c r="O247" s="5"/>
      <c r="V247" s="5"/>
      <c r="X247" s="9"/>
    </row>
    <row r="248">
      <c r="H248" s="5"/>
      <c r="O248" s="5"/>
      <c r="V248" s="5"/>
      <c r="X248" s="9"/>
    </row>
    <row r="249">
      <c r="H249" s="5"/>
      <c r="O249" s="5"/>
      <c r="V249" s="5"/>
      <c r="X249" s="9"/>
    </row>
    <row r="250">
      <c r="H250" s="5"/>
      <c r="O250" s="5"/>
      <c r="V250" s="5"/>
      <c r="X250" s="9"/>
    </row>
    <row r="251">
      <c r="H251" s="5"/>
      <c r="O251" s="5"/>
      <c r="V251" s="5"/>
      <c r="X251" s="9"/>
    </row>
    <row r="252">
      <c r="H252" s="5"/>
      <c r="O252" s="5"/>
      <c r="V252" s="5"/>
      <c r="X252" s="9"/>
    </row>
    <row r="253">
      <c r="H253" s="5"/>
      <c r="O253" s="5"/>
      <c r="V253" s="5"/>
      <c r="X253" s="9"/>
    </row>
    <row r="254">
      <c r="H254" s="5"/>
      <c r="O254" s="5"/>
      <c r="V254" s="5"/>
      <c r="X254" s="9"/>
    </row>
    <row r="255">
      <c r="H255" s="5"/>
      <c r="O255" s="5"/>
      <c r="V255" s="5"/>
      <c r="X255" s="9"/>
    </row>
    <row r="256">
      <c r="H256" s="5"/>
      <c r="O256" s="5"/>
      <c r="V256" s="5"/>
      <c r="X256" s="9"/>
    </row>
    <row r="257">
      <c r="H257" s="5"/>
      <c r="O257" s="5"/>
      <c r="V257" s="5"/>
      <c r="X257" s="9"/>
    </row>
    <row r="258">
      <c r="H258" s="5"/>
      <c r="O258" s="5"/>
      <c r="V258" s="5"/>
      <c r="X258" s="9"/>
    </row>
    <row r="259">
      <c r="H259" s="5"/>
      <c r="O259" s="5"/>
      <c r="V259" s="5"/>
      <c r="X259" s="9"/>
    </row>
    <row r="260">
      <c r="H260" s="5"/>
      <c r="O260" s="5"/>
      <c r="V260" s="5"/>
      <c r="X260" s="9"/>
    </row>
    <row r="261">
      <c r="H261" s="5"/>
      <c r="O261" s="5"/>
      <c r="V261" s="5"/>
      <c r="X261" s="9"/>
    </row>
    <row r="262">
      <c r="H262" s="5"/>
      <c r="O262" s="5"/>
      <c r="V262" s="5"/>
      <c r="X262" s="9"/>
    </row>
    <row r="263">
      <c r="H263" s="5"/>
      <c r="O263" s="5"/>
      <c r="V263" s="5"/>
      <c r="X263" s="9"/>
    </row>
    <row r="264">
      <c r="H264" s="5"/>
      <c r="O264" s="5"/>
      <c r="V264" s="5"/>
      <c r="X264" s="9"/>
    </row>
    <row r="265">
      <c r="H265" s="5"/>
      <c r="O265" s="5"/>
      <c r="V265" s="5"/>
      <c r="X265" s="9"/>
    </row>
    <row r="266">
      <c r="H266" s="5"/>
      <c r="O266" s="5"/>
      <c r="V266" s="5"/>
      <c r="X266" s="9"/>
    </row>
    <row r="267">
      <c r="H267" s="5"/>
      <c r="O267" s="5"/>
      <c r="V267" s="5"/>
      <c r="X267" s="9"/>
    </row>
    <row r="268">
      <c r="H268" s="5"/>
      <c r="O268" s="5"/>
      <c r="V268" s="5"/>
      <c r="X268" s="9"/>
    </row>
    <row r="269">
      <c r="H269" s="5"/>
      <c r="O269" s="5"/>
      <c r="V269" s="5"/>
      <c r="X269" s="9"/>
    </row>
    <row r="270">
      <c r="H270" s="5"/>
      <c r="O270" s="5"/>
      <c r="V270" s="5"/>
      <c r="X270" s="9"/>
    </row>
    <row r="271">
      <c r="H271" s="5"/>
      <c r="O271" s="5"/>
      <c r="V271" s="5"/>
      <c r="X271" s="9"/>
    </row>
    <row r="272">
      <c r="H272" s="5"/>
      <c r="O272" s="5"/>
      <c r="V272" s="5"/>
      <c r="X272" s="9"/>
    </row>
    <row r="273">
      <c r="H273" s="5"/>
      <c r="O273" s="5"/>
      <c r="V273" s="5"/>
      <c r="X273" s="9"/>
    </row>
    <row r="274">
      <c r="H274" s="5"/>
      <c r="O274" s="5"/>
      <c r="V274" s="5"/>
      <c r="X274" s="9"/>
    </row>
    <row r="275">
      <c r="H275" s="5"/>
      <c r="O275" s="5"/>
      <c r="V275" s="5"/>
      <c r="X275" s="9"/>
    </row>
    <row r="276">
      <c r="H276" s="5"/>
      <c r="O276" s="5"/>
      <c r="V276" s="5"/>
      <c r="X276" s="9"/>
    </row>
    <row r="277">
      <c r="H277" s="5"/>
      <c r="O277" s="5"/>
      <c r="V277" s="5"/>
      <c r="X277" s="9"/>
    </row>
    <row r="278">
      <c r="H278" s="5"/>
      <c r="O278" s="5"/>
      <c r="V278" s="5"/>
      <c r="X278" s="9"/>
    </row>
    <row r="279">
      <c r="H279" s="5"/>
      <c r="O279" s="5"/>
      <c r="V279" s="5"/>
      <c r="X279" s="9"/>
    </row>
    <row r="280">
      <c r="H280" s="5"/>
      <c r="O280" s="5"/>
      <c r="V280" s="5"/>
      <c r="X280" s="9"/>
    </row>
    <row r="281">
      <c r="H281" s="5"/>
      <c r="O281" s="5"/>
      <c r="V281" s="5"/>
      <c r="X281" s="9"/>
    </row>
    <row r="282">
      <c r="H282" s="5"/>
      <c r="O282" s="5"/>
      <c r="V282" s="5"/>
      <c r="X282" s="9"/>
    </row>
    <row r="283">
      <c r="H283" s="5"/>
      <c r="O283" s="5"/>
      <c r="V283" s="5"/>
      <c r="X283" s="9"/>
    </row>
    <row r="284">
      <c r="H284" s="5"/>
      <c r="O284" s="5"/>
      <c r="V284" s="5"/>
      <c r="X284" s="9"/>
    </row>
    <row r="285">
      <c r="H285" s="5"/>
      <c r="O285" s="5"/>
      <c r="V285" s="5"/>
      <c r="X285" s="9"/>
    </row>
    <row r="286">
      <c r="H286" s="5"/>
      <c r="O286" s="5"/>
      <c r="V286" s="5"/>
      <c r="X286" s="9"/>
    </row>
    <row r="287">
      <c r="H287" s="5"/>
      <c r="O287" s="5"/>
      <c r="V287" s="5"/>
      <c r="X287" s="9"/>
    </row>
    <row r="288">
      <c r="H288" s="5"/>
      <c r="O288" s="5"/>
      <c r="V288" s="5"/>
      <c r="X288" s="9"/>
    </row>
    <row r="289">
      <c r="H289" s="5"/>
      <c r="O289" s="5"/>
      <c r="V289" s="5"/>
      <c r="X289" s="9"/>
    </row>
    <row r="290">
      <c r="H290" s="5"/>
      <c r="O290" s="5"/>
      <c r="V290" s="5"/>
      <c r="X290" s="9"/>
    </row>
    <row r="291">
      <c r="H291" s="5"/>
      <c r="O291" s="5"/>
      <c r="V291" s="5"/>
      <c r="X291" s="9"/>
    </row>
    <row r="292">
      <c r="H292" s="5"/>
      <c r="O292" s="5"/>
      <c r="V292" s="5"/>
      <c r="X292" s="9"/>
    </row>
    <row r="293">
      <c r="H293" s="5"/>
      <c r="O293" s="5"/>
      <c r="V293" s="5"/>
      <c r="X293" s="9"/>
    </row>
    <row r="294">
      <c r="H294" s="5"/>
      <c r="O294" s="5"/>
      <c r="V294" s="5"/>
      <c r="X294" s="9"/>
    </row>
    <row r="295">
      <c r="H295" s="5"/>
      <c r="O295" s="5"/>
      <c r="V295" s="5"/>
      <c r="X295" s="9"/>
    </row>
    <row r="296">
      <c r="H296" s="5"/>
      <c r="O296" s="5"/>
      <c r="V296" s="5"/>
      <c r="X296" s="9"/>
    </row>
    <row r="297">
      <c r="H297" s="5"/>
      <c r="O297" s="5"/>
      <c r="V297" s="5"/>
      <c r="X297" s="9"/>
    </row>
    <row r="298">
      <c r="H298" s="5"/>
      <c r="O298" s="5"/>
      <c r="V298" s="5"/>
      <c r="X298" s="9"/>
    </row>
    <row r="299">
      <c r="H299" s="5"/>
      <c r="O299" s="5"/>
      <c r="V299" s="5"/>
      <c r="X299" s="9"/>
    </row>
    <row r="300">
      <c r="H300" s="5"/>
      <c r="O300" s="5"/>
      <c r="V300" s="5"/>
      <c r="X300" s="9"/>
    </row>
    <row r="301">
      <c r="H301" s="5"/>
      <c r="O301" s="5"/>
      <c r="V301" s="5"/>
      <c r="X301" s="9"/>
    </row>
    <row r="302">
      <c r="H302" s="5"/>
      <c r="O302" s="5"/>
      <c r="V302" s="5"/>
      <c r="X302" s="9"/>
    </row>
    <row r="303">
      <c r="H303" s="5"/>
      <c r="O303" s="5"/>
      <c r="V303" s="5"/>
      <c r="X303" s="9"/>
    </row>
    <row r="304">
      <c r="H304" s="5"/>
      <c r="O304" s="5"/>
      <c r="V304" s="5"/>
      <c r="X304" s="9"/>
    </row>
    <row r="305">
      <c r="H305" s="5"/>
      <c r="O305" s="5"/>
      <c r="V305" s="5"/>
      <c r="X305" s="9"/>
    </row>
    <row r="306">
      <c r="H306" s="5"/>
      <c r="O306" s="5"/>
      <c r="V306" s="5"/>
      <c r="X306" s="9"/>
    </row>
    <row r="307">
      <c r="H307" s="5"/>
      <c r="O307" s="5"/>
      <c r="V307" s="5"/>
      <c r="X307" s="9"/>
    </row>
    <row r="308">
      <c r="H308" s="5"/>
      <c r="O308" s="5"/>
      <c r="V308" s="5"/>
      <c r="X308" s="9"/>
    </row>
    <row r="309">
      <c r="H309" s="5"/>
      <c r="O309" s="5"/>
      <c r="V309" s="5"/>
      <c r="X309" s="9"/>
    </row>
    <row r="310">
      <c r="H310" s="5"/>
      <c r="O310" s="5"/>
      <c r="V310" s="5"/>
      <c r="X310" s="9"/>
    </row>
    <row r="311">
      <c r="H311" s="5"/>
      <c r="O311" s="5"/>
      <c r="V311" s="5"/>
      <c r="X311" s="9"/>
    </row>
    <row r="312">
      <c r="H312" s="5"/>
      <c r="O312" s="5"/>
      <c r="V312" s="5"/>
      <c r="X312" s="9"/>
    </row>
    <row r="313">
      <c r="H313" s="5"/>
      <c r="O313" s="5"/>
      <c r="V313" s="5"/>
      <c r="X313" s="9"/>
    </row>
    <row r="314">
      <c r="H314" s="5"/>
      <c r="O314" s="5"/>
      <c r="V314" s="5"/>
      <c r="X314" s="9"/>
    </row>
    <row r="315">
      <c r="H315" s="5"/>
      <c r="O315" s="5"/>
      <c r="V315" s="5"/>
      <c r="X315" s="9"/>
    </row>
    <row r="316">
      <c r="H316" s="5"/>
      <c r="O316" s="5"/>
      <c r="V316" s="5"/>
      <c r="X316" s="9"/>
    </row>
    <row r="317">
      <c r="H317" s="5"/>
      <c r="O317" s="5"/>
      <c r="V317" s="5"/>
      <c r="X317" s="9"/>
    </row>
    <row r="318">
      <c r="H318" s="5"/>
      <c r="O318" s="5"/>
      <c r="V318" s="5"/>
      <c r="X318" s="9"/>
    </row>
    <row r="319">
      <c r="H319" s="5"/>
      <c r="O319" s="5"/>
      <c r="V319" s="5"/>
      <c r="X319" s="9"/>
    </row>
    <row r="320">
      <c r="H320" s="5"/>
      <c r="O320" s="5"/>
      <c r="V320" s="5"/>
      <c r="X320" s="9"/>
    </row>
    <row r="321">
      <c r="H321" s="5"/>
      <c r="O321" s="5"/>
      <c r="V321" s="5"/>
      <c r="X321" s="9"/>
    </row>
    <row r="322">
      <c r="H322" s="5"/>
      <c r="O322" s="5"/>
      <c r="V322" s="5"/>
      <c r="X322" s="9"/>
    </row>
    <row r="323">
      <c r="H323" s="5"/>
      <c r="O323" s="5"/>
      <c r="V323" s="5"/>
      <c r="X323" s="9"/>
    </row>
    <row r="324">
      <c r="H324" s="5"/>
      <c r="O324" s="5"/>
      <c r="V324" s="5"/>
      <c r="X324" s="9"/>
    </row>
    <row r="325">
      <c r="H325" s="5"/>
      <c r="O325" s="5"/>
      <c r="V325" s="5"/>
      <c r="X325" s="9"/>
    </row>
    <row r="326">
      <c r="H326" s="5"/>
      <c r="O326" s="5"/>
      <c r="V326" s="5"/>
      <c r="X326" s="9"/>
    </row>
    <row r="327">
      <c r="H327" s="5"/>
      <c r="O327" s="5"/>
      <c r="V327" s="5"/>
      <c r="X327" s="9"/>
    </row>
    <row r="328">
      <c r="H328" s="5"/>
      <c r="O328" s="5"/>
      <c r="V328" s="5"/>
      <c r="X328" s="9"/>
    </row>
    <row r="329">
      <c r="H329" s="5"/>
      <c r="O329" s="5"/>
      <c r="V329" s="5"/>
      <c r="X329" s="9"/>
    </row>
    <row r="330">
      <c r="H330" s="5"/>
      <c r="O330" s="5"/>
      <c r="V330" s="5"/>
      <c r="X330" s="9"/>
    </row>
    <row r="331">
      <c r="H331" s="5"/>
      <c r="O331" s="5"/>
      <c r="V331" s="5"/>
      <c r="X331" s="9"/>
    </row>
    <row r="332">
      <c r="H332" s="5"/>
      <c r="O332" s="5"/>
      <c r="V332" s="5"/>
      <c r="X332" s="9"/>
    </row>
    <row r="333">
      <c r="H333" s="5"/>
      <c r="O333" s="5"/>
      <c r="V333" s="5"/>
      <c r="X333" s="9"/>
    </row>
    <row r="334">
      <c r="H334" s="5"/>
      <c r="O334" s="5"/>
      <c r="V334" s="5"/>
      <c r="X334" s="9"/>
    </row>
    <row r="335">
      <c r="H335" s="5"/>
      <c r="O335" s="5"/>
      <c r="V335" s="5"/>
      <c r="X335" s="9"/>
    </row>
    <row r="336">
      <c r="H336" s="5"/>
      <c r="O336" s="5"/>
      <c r="V336" s="5"/>
      <c r="X336" s="9"/>
    </row>
    <row r="337">
      <c r="H337" s="5"/>
      <c r="O337" s="5"/>
      <c r="V337" s="5"/>
      <c r="X337" s="9"/>
    </row>
    <row r="338">
      <c r="H338" s="5"/>
      <c r="O338" s="5"/>
      <c r="V338" s="5"/>
      <c r="X338" s="9"/>
    </row>
    <row r="339">
      <c r="H339" s="5"/>
      <c r="O339" s="5"/>
      <c r="V339" s="5"/>
      <c r="X339" s="9"/>
    </row>
    <row r="340">
      <c r="H340" s="5"/>
      <c r="O340" s="5"/>
      <c r="V340" s="5"/>
      <c r="X340" s="9"/>
    </row>
    <row r="341">
      <c r="H341" s="5"/>
      <c r="O341" s="5"/>
      <c r="V341" s="5"/>
      <c r="X341" s="9"/>
    </row>
    <row r="342">
      <c r="H342" s="5"/>
      <c r="O342" s="5"/>
      <c r="V342" s="5"/>
      <c r="X342" s="9"/>
    </row>
    <row r="343">
      <c r="H343" s="5"/>
      <c r="O343" s="5"/>
      <c r="V343" s="5"/>
      <c r="X343" s="9"/>
    </row>
    <row r="344">
      <c r="H344" s="5"/>
      <c r="O344" s="5"/>
      <c r="V344" s="5"/>
      <c r="X344" s="9"/>
    </row>
    <row r="345">
      <c r="H345" s="5"/>
      <c r="O345" s="5"/>
      <c r="V345" s="5"/>
      <c r="X345" s="9"/>
    </row>
    <row r="346">
      <c r="H346" s="5"/>
      <c r="O346" s="5"/>
      <c r="V346" s="5"/>
      <c r="X346" s="9"/>
    </row>
    <row r="347">
      <c r="H347" s="5"/>
      <c r="O347" s="5"/>
      <c r="V347" s="5"/>
      <c r="X347" s="9"/>
    </row>
    <row r="348">
      <c r="H348" s="5"/>
      <c r="O348" s="5"/>
      <c r="V348" s="5"/>
      <c r="X348" s="9"/>
    </row>
    <row r="349">
      <c r="H349" s="5"/>
      <c r="O349" s="5"/>
      <c r="V349" s="5"/>
      <c r="X349" s="9"/>
    </row>
    <row r="350">
      <c r="H350" s="5"/>
      <c r="O350" s="5"/>
      <c r="V350" s="5"/>
      <c r="X350" s="9"/>
    </row>
    <row r="351">
      <c r="H351" s="5"/>
      <c r="O351" s="5"/>
      <c r="V351" s="5"/>
      <c r="X351" s="9"/>
    </row>
    <row r="352">
      <c r="H352" s="5"/>
      <c r="O352" s="5"/>
      <c r="V352" s="5"/>
      <c r="X352" s="9"/>
    </row>
    <row r="353">
      <c r="H353" s="5"/>
      <c r="O353" s="5"/>
      <c r="V353" s="5"/>
      <c r="X353" s="9"/>
    </row>
    <row r="354">
      <c r="H354" s="5"/>
      <c r="O354" s="5"/>
      <c r="V354" s="5"/>
      <c r="X354" s="9"/>
    </row>
    <row r="355">
      <c r="H355" s="5"/>
      <c r="O355" s="5"/>
      <c r="V355" s="5"/>
      <c r="X355" s="9"/>
    </row>
    <row r="356">
      <c r="H356" s="5"/>
      <c r="O356" s="5"/>
      <c r="V356" s="5"/>
      <c r="X356" s="9"/>
    </row>
    <row r="357">
      <c r="H357" s="5"/>
      <c r="O357" s="5"/>
      <c r="V357" s="5"/>
      <c r="X357" s="9"/>
    </row>
    <row r="358">
      <c r="H358" s="5"/>
      <c r="O358" s="5"/>
      <c r="V358" s="5"/>
      <c r="X358" s="9"/>
    </row>
    <row r="359">
      <c r="H359" s="5"/>
      <c r="O359" s="5"/>
      <c r="V359" s="5"/>
      <c r="X359" s="9"/>
    </row>
    <row r="360">
      <c r="H360" s="5"/>
      <c r="O360" s="5"/>
      <c r="V360" s="5"/>
      <c r="X360" s="9"/>
    </row>
    <row r="361">
      <c r="H361" s="5"/>
      <c r="O361" s="5"/>
      <c r="V361" s="5"/>
      <c r="X361" s="9"/>
    </row>
    <row r="362">
      <c r="H362" s="5"/>
      <c r="O362" s="5"/>
      <c r="V362" s="5"/>
      <c r="X362" s="9"/>
    </row>
    <row r="363">
      <c r="H363" s="5"/>
      <c r="O363" s="5"/>
      <c r="V363" s="5"/>
      <c r="X363" s="9"/>
    </row>
    <row r="364">
      <c r="H364" s="5"/>
      <c r="O364" s="5"/>
      <c r="V364" s="5"/>
      <c r="X364" s="9"/>
    </row>
    <row r="365">
      <c r="H365" s="5"/>
      <c r="O365" s="5"/>
      <c r="V365" s="5"/>
      <c r="X365" s="9"/>
    </row>
    <row r="366">
      <c r="H366" s="5"/>
      <c r="O366" s="5"/>
      <c r="V366" s="5"/>
      <c r="X366" s="9"/>
    </row>
    <row r="367">
      <c r="H367" s="5"/>
      <c r="O367" s="5"/>
      <c r="V367" s="5"/>
      <c r="X367" s="9"/>
    </row>
    <row r="368">
      <c r="H368" s="5"/>
      <c r="O368" s="5"/>
      <c r="V368" s="5"/>
      <c r="X368" s="9"/>
    </row>
    <row r="369">
      <c r="H369" s="5"/>
      <c r="O369" s="5"/>
      <c r="V369" s="5"/>
      <c r="X369" s="9"/>
    </row>
    <row r="370">
      <c r="H370" s="5"/>
      <c r="O370" s="5"/>
      <c r="V370" s="5"/>
      <c r="X370" s="9"/>
    </row>
    <row r="371">
      <c r="H371" s="5"/>
      <c r="O371" s="5"/>
      <c r="V371" s="5"/>
      <c r="X371" s="9"/>
    </row>
    <row r="372">
      <c r="H372" s="5"/>
      <c r="O372" s="5"/>
      <c r="V372" s="5"/>
      <c r="X372" s="9"/>
    </row>
    <row r="373">
      <c r="H373" s="5"/>
      <c r="O373" s="5"/>
      <c r="V373" s="5"/>
      <c r="X373" s="9"/>
    </row>
    <row r="374">
      <c r="H374" s="5"/>
      <c r="O374" s="5"/>
      <c r="V374" s="5"/>
      <c r="X374" s="9"/>
    </row>
    <row r="375">
      <c r="H375" s="5"/>
      <c r="O375" s="5"/>
      <c r="V375" s="5"/>
      <c r="X375" s="9"/>
    </row>
    <row r="376">
      <c r="H376" s="5"/>
      <c r="O376" s="5"/>
      <c r="V376" s="5"/>
      <c r="X376" s="9"/>
    </row>
    <row r="377">
      <c r="H377" s="5"/>
      <c r="O377" s="5"/>
      <c r="V377" s="5"/>
      <c r="X377" s="9"/>
    </row>
    <row r="378">
      <c r="H378" s="5"/>
      <c r="O378" s="5"/>
      <c r="V378" s="5"/>
      <c r="X378" s="9"/>
    </row>
    <row r="379">
      <c r="H379" s="5"/>
      <c r="O379" s="5"/>
      <c r="V379" s="5"/>
      <c r="X379" s="9"/>
    </row>
    <row r="380">
      <c r="H380" s="5"/>
      <c r="O380" s="5"/>
      <c r="V380" s="5"/>
      <c r="X380" s="9"/>
    </row>
    <row r="381">
      <c r="H381" s="5"/>
      <c r="O381" s="5"/>
      <c r="V381" s="5"/>
      <c r="X381" s="9"/>
    </row>
    <row r="382">
      <c r="H382" s="5"/>
      <c r="O382" s="5"/>
      <c r="V382" s="5"/>
      <c r="X382" s="9"/>
    </row>
    <row r="383">
      <c r="H383" s="5"/>
      <c r="O383" s="5"/>
      <c r="V383" s="5"/>
      <c r="X383" s="9"/>
    </row>
    <row r="384">
      <c r="H384" s="5"/>
      <c r="O384" s="5"/>
      <c r="V384" s="5"/>
      <c r="X384" s="9"/>
    </row>
    <row r="385">
      <c r="H385" s="5"/>
      <c r="O385" s="5"/>
      <c r="V385" s="5"/>
      <c r="X385" s="9"/>
    </row>
    <row r="386">
      <c r="H386" s="5"/>
      <c r="O386" s="5"/>
      <c r="V386" s="5"/>
      <c r="X386" s="9"/>
    </row>
    <row r="387">
      <c r="H387" s="5"/>
      <c r="O387" s="5"/>
      <c r="V387" s="5"/>
      <c r="X387" s="9"/>
    </row>
    <row r="388">
      <c r="H388" s="5"/>
      <c r="O388" s="5"/>
      <c r="V388" s="5"/>
      <c r="X388" s="9"/>
    </row>
    <row r="389">
      <c r="H389" s="5"/>
      <c r="O389" s="5"/>
      <c r="V389" s="5"/>
      <c r="X389" s="9"/>
    </row>
    <row r="390">
      <c r="H390" s="5"/>
      <c r="O390" s="5"/>
      <c r="V390" s="5"/>
      <c r="X390" s="9"/>
    </row>
    <row r="391">
      <c r="H391" s="5"/>
      <c r="O391" s="5"/>
      <c r="V391" s="5"/>
      <c r="X391" s="9"/>
    </row>
    <row r="392">
      <c r="H392" s="5"/>
      <c r="O392" s="5"/>
      <c r="V392" s="5"/>
      <c r="X392" s="9"/>
    </row>
    <row r="393">
      <c r="H393" s="5"/>
      <c r="O393" s="5"/>
      <c r="V393" s="5"/>
      <c r="X393" s="9"/>
    </row>
    <row r="394">
      <c r="H394" s="5"/>
      <c r="O394" s="5"/>
      <c r="V394" s="5"/>
      <c r="X394" s="9"/>
    </row>
    <row r="395">
      <c r="H395" s="5"/>
      <c r="O395" s="5"/>
      <c r="V395" s="5"/>
      <c r="X395" s="9"/>
    </row>
    <row r="396">
      <c r="H396" s="5"/>
      <c r="O396" s="5"/>
      <c r="V396" s="5"/>
      <c r="X396" s="9"/>
    </row>
    <row r="397">
      <c r="H397" s="5"/>
      <c r="O397" s="5"/>
      <c r="V397" s="5"/>
      <c r="X397" s="9"/>
    </row>
    <row r="398">
      <c r="H398" s="5"/>
      <c r="O398" s="5"/>
      <c r="V398" s="5"/>
      <c r="X398" s="9"/>
    </row>
    <row r="399">
      <c r="H399" s="5"/>
      <c r="O399" s="5"/>
      <c r="V399" s="5"/>
      <c r="X399" s="9"/>
    </row>
    <row r="400">
      <c r="H400" s="5"/>
      <c r="O400" s="5"/>
      <c r="V400" s="5"/>
      <c r="X400" s="9"/>
    </row>
    <row r="401">
      <c r="H401" s="5"/>
      <c r="O401" s="5"/>
      <c r="V401" s="5"/>
      <c r="X401" s="9"/>
    </row>
    <row r="402">
      <c r="H402" s="5"/>
      <c r="O402" s="5"/>
      <c r="V402" s="5"/>
      <c r="X402" s="9"/>
    </row>
    <row r="403">
      <c r="H403" s="5"/>
      <c r="O403" s="5"/>
      <c r="V403" s="5"/>
      <c r="X403" s="9"/>
    </row>
    <row r="404">
      <c r="H404" s="5"/>
      <c r="O404" s="5"/>
      <c r="V404" s="5"/>
      <c r="X404" s="9"/>
    </row>
    <row r="405">
      <c r="H405" s="5"/>
      <c r="O405" s="5"/>
      <c r="V405" s="5"/>
      <c r="X405" s="9"/>
    </row>
    <row r="406">
      <c r="H406" s="5"/>
      <c r="O406" s="5"/>
      <c r="V406" s="5"/>
      <c r="X406" s="9"/>
    </row>
    <row r="407">
      <c r="H407" s="5"/>
      <c r="O407" s="5"/>
      <c r="V407" s="5"/>
      <c r="X407" s="9"/>
    </row>
    <row r="408">
      <c r="H408" s="5"/>
      <c r="O408" s="5"/>
      <c r="V408" s="5"/>
      <c r="X408" s="9"/>
    </row>
    <row r="409">
      <c r="H409" s="5"/>
      <c r="O409" s="5"/>
      <c r="V409" s="5"/>
      <c r="X409" s="9"/>
    </row>
    <row r="410">
      <c r="H410" s="5"/>
      <c r="O410" s="5"/>
      <c r="V410" s="5"/>
      <c r="X410" s="9"/>
    </row>
    <row r="411">
      <c r="H411" s="5"/>
      <c r="O411" s="5"/>
      <c r="V411" s="5"/>
      <c r="X411" s="9"/>
    </row>
    <row r="412">
      <c r="H412" s="5"/>
      <c r="O412" s="5"/>
      <c r="V412" s="5"/>
      <c r="X412" s="9"/>
    </row>
    <row r="413">
      <c r="H413" s="5"/>
      <c r="O413" s="5"/>
      <c r="V413" s="5"/>
      <c r="X413" s="9"/>
    </row>
    <row r="414">
      <c r="H414" s="5"/>
      <c r="O414" s="5"/>
      <c r="V414" s="5"/>
      <c r="X414" s="9"/>
    </row>
    <row r="415">
      <c r="H415" s="5"/>
      <c r="O415" s="5"/>
      <c r="V415" s="5"/>
      <c r="X415" s="9"/>
    </row>
    <row r="416">
      <c r="H416" s="5"/>
      <c r="O416" s="5"/>
      <c r="V416" s="5"/>
      <c r="X416" s="9"/>
    </row>
    <row r="417">
      <c r="H417" s="5"/>
      <c r="O417" s="5"/>
      <c r="V417" s="5"/>
      <c r="X417" s="9"/>
    </row>
    <row r="418">
      <c r="H418" s="5"/>
      <c r="O418" s="5"/>
      <c r="V418" s="5"/>
      <c r="X418" s="9"/>
    </row>
    <row r="419">
      <c r="H419" s="5"/>
      <c r="O419" s="5"/>
      <c r="V419" s="5"/>
      <c r="X419" s="9"/>
    </row>
    <row r="420">
      <c r="H420" s="5"/>
      <c r="O420" s="5"/>
      <c r="V420" s="5"/>
      <c r="X420" s="9"/>
    </row>
    <row r="421">
      <c r="H421" s="5"/>
      <c r="O421" s="5"/>
      <c r="V421" s="5"/>
      <c r="X421" s="9"/>
    </row>
    <row r="422">
      <c r="H422" s="5"/>
      <c r="O422" s="5"/>
      <c r="V422" s="5"/>
      <c r="X422" s="9"/>
    </row>
    <row r="423">
      <c r="H423" s="5"/>
      <c r="O423" s="5"/>
      <c r="V423" s="5"/>
      <c r="X423" s="9"/>
    </row>
    <row r="424">
      <c r="H424" s="5"/>
      <c r="O424" s="5"/>
      <c r="V424" s="5"/>
      <c r="X424" s="9"/>
    </row>
    <row r="425">
      <c r="H425" s="5"/>
      <c r="O425" s="5"/>
      <c r="V425" s="5"/>
      <c r="X425" s="9"/>
    </row>
    <row r="426">
      <c r="H426" s="5"/>
      <c r="O426" s="5"/>
      <c r="V426" s="5"/>
      <c r="X426" s="9"/>
    </row>
    <row r="427">
      <c r="H427" s="5"/>
      <c r="O427" s="5"/>
      <c r="V427" s="5"/>
      <c r="X427" s="9"/>
    </row>
    <row r="428">
      <c r="H428" s="5"/>
      <c r="O428" s="5"/>
      <c r="V428" s="5"/>
      <c r="X428" s="9"/>
    </row>
    <row r="429">
      <c r="H429" s="5"/>
      <c r="O429" s="5"/>
      <c r="V429" s="5"/>
      <c r="X429" s="9"/>
    </row>
    <row r="430">
      <c r="H430" s="5"/>
      <c r="O430" s="5"/>
      <c r="V430" s="5"/>
      <c r="X430" s="9"/>
    </row>
    <row r="431">
      <c r="H431" s="5"/>
      <c r="O431" s="5"/>
      <c r="V431" s="5"/>
      <c r="X431" s="9"/>
    </row>
    <row r="432">
      <c r="H432" s="5"/>
      <c r="O432" s="5"/>
      <c r="V432" s="5"/>
      <c r="X432" s="9"/>
    </row>
    <row r="433">
      <c r="H433" s="5"/>
      <c r="O433" s="5"/>
      <c r="V433" s="5"/>
      <c r="X433" s="9"/>
    </row>
    <row r="434">
      <c r="H434" s="5"/>
      <c r="O434" s="5"/>
      <c r="V434" s="5"/>
      <c r="X434" s="9"/>
    </row>
    <row r="435">
      <c r="H435" s="5"/>
      <c r="O435" s="5"/>
      <c r="V435" s="5"/>
      <c r="X435" s="9"/>
    </row>
    <row r="436">
      <c r="H436" s="5"/>
      <c r="O436" s="5"/>
      <c r="V436" s="5"/>
      <c r="X436" s="9"/>
    </row>
    <row r="437">
      <c r="H437" s="5"/>
      <c r="O437" s="5"/>
      <c r="V437" s="5"/>
      <c r="X437" s="9"/>
    </row>
    <row r="438">
      <c r="H438" s="5"/>
      <c r="O438" s="5"/>
      <c r="V438" s="5"/>
      <c r="X438" s="9"/>
    </row>
    <row r="439">
      <c r="H439" s="5"/>
      <c r="O439" s="5"/>
      <c r="V439" s="5"/>
      <c r="X439" s="9"/>
    </row>
    <row r="440">
      <c r="H440" s="5"/>
      <c r="O440" s="5"/>
      <c r="V440" s="5"/>
      <c r="X440" s="9"/>
    </row>
    <row r="441">
      <c r="H441" s="5"/>
      <c r="O441" s="5"/>
      <c r="V441" s="5"/>
      <c r="X441" s="9"/>
    </row>
    <row r="442">
      <c r="H442" s="5"/>
      <c r="O442" s="5"/>
      <c r="V442" s="5"/>
      <c r="X442" s="9"/>
    </row>
    <row r="443">
      <c r="H443" s="5"/>
      <c r="O443" s="5"/>
      <c r="V443" s="5"/>
      <c r="X443" s="9"/>
    </row>
    <row r="444">
      <c r="H444" s="5"/>
      <c r="O444" s="5"/>
      <c r="V444" s="5"/>
      <c r="X444" s="9"/>
    </row>
    <row r="445">
      <c r="H445" s="5"/>
      <c r="O445" s="5"/>
      <c r="V445" s="5"/>
      <c r="X445" s="9"/>
    </row>
    <row r="446">
      <c r="H446" s="5"/>
      <c r="O446" s="5"/>
      <c r="V446" s="5"/>
      <c r="X446" s="9"/>
    </row>
    <row r="447">
      <c r="H447" s="5"/>
      <c r="O447" s="5"/>
      <c r="V447" s="5"/>
      <c r="X447" s="9"/>
    </row>
    <row r="448">
      <c r="H448" s="5"/>
      <c r="O448" s="5"/>
      <c r="V448" s="5"/>
      <c r="X448" s="9"/>
    </row>
    <row r="449">
      <c r="H449" s="5"/>
      <c r="O449" s="5"/>
      <c r="V449" s="5"/>
      <c r="X449" s="9"/>
    </row>
    <row r="450">
      <c r="H450" s="5"/>
      <c r="O450" s="5"/>
      <c r="V450" s="5"/>
      <c r="X450" s="9"/>
    </row>
    <row r="451">
      <c r="H451" s="5"/>
      <c r="O451" s="5"/>
      <c r="V451" s="5"/>
      <c r="X451" s="9"/>
    </row>
    <row r="452">
      <c r="H452" s="5"/>
      <c r="O452" s="5"/>
      <c r="V452" s="5"/>
      <c r="X452" s="9"/>
    </row>
    <row r="453">
      <c r="H453" s="5"/>
      <c r="O453" s="5"/>
      <c r="V453" s="5"/>
      <c r="X453" s="9"/>
    </row>
    <row r="454">
      <c r="H454" s="5"/>
      <c r="O454" s="5"/>
      <c r="V454" s="5"/>
      <c r="X454" s="9"/>
    </row>
    <row r="455">
      <c r="H455" s="5"/>
      <c r="O455" s="5"/>
      <c r="V455" s="5"/>
      <c r="X455" s="9"/>
    </row>
    <row r="456">
      <c r="H456" s="5"/>
      <c r="O456" s="5"/>
      <c r="V456" s="5"/>
      <c r="X456" s="9"/>
    </row>
    <row r="457">
      <c r="H457" s="5"/>
      <c r="O457" s="5"/>
      <c r="V457" s="5"/>
      <c r="X457" s="9"/>
    </row>
    <row r="458">
      <c r="H458" s="5"/>
      <c r="O458" s="5"/>
      <c r="V458" s="5"/>
      <c r="X458" s="9"/>
    </row>
    <row r="459">
      <c r="H459" s="5"/>
      <c r="O459" s="5"/>
      <c r="V459" s="5"/>
      <c r="X459" s="9"/>
    </row>
    <row r="460">
      <c r="H460" s="5"/>
      <c r="O460" s="5"/>
      <c r="V460" s="5"/>
      <c r="X460" s="9"/>
    </row>
    <row r="461">
      <c r="H461" s="5"/>
      <c r="O461" s="5"/>
      <c r="V461" s="5"/>
      <c r="X461" s="9"/>
    </row>
    <row r="462">
      <c r="H462" s="5"/>
      <c r="O462" s="5"/>
      <c r="V462" s="5"/>
      <c r="X462" s="9"/>
    </row>
    <row r="463">
      <c r="H463" s="5"/>
      <c r="O463" s="5"/>
      <c r="V463" s="5"/>
      <c r="X463" s="9"/>
    </row>
    <row r="464">
      <c r="H464" s="5"/>
      <c r="O464" s="5"/>
      <c r="V464" s="5"/>
      <c r="X464" s="9"/>
    </row>
    <row r="465">
      <c r="H465" s="5"/>
      <c r="O465" s="5"/>
      <c r="V465" s="5"/>
      <c r="X465" s="9"/>
    </row>
    <row r="466">
      <c r="H466" s="5"/>
      <c r="O466" s="5"/>
      <c r="V466" s="5"/>
      <c r="X466" s="9"/>
    </row>
    <row r="467">
      <c r="H467" s="5"/>
      <c r="O467" s="5"/>
      <c r="V467" s="5"/>
      <c r="X467" s="9"/>
    </row>
    <row r="468">
      <c r="H468" s="5"/>
      <c r="O468" s="5"/>
      <c r="V468" s="5"/>
      <c r="X468" s="9"/>
    </row>
    <row r="469">
      <c r="H469" s="5"/>
      <c r="O469" s="5"/>
      <c r="V469" s="5"/>
      <c r="X469" s="9"/>
    </row>
    <row r="470">
      <c r="H470" s="5"/>
      <c r="O470" s="5"/>
      <c r="V470" s="5"/>
      <c r="X470" s="9"/>
    </row>
    <row r="471">
      <c r="H471" s="5"/>
      <c r="O471" s="5"/>
      <c r="V471" s="5"/>
      <c r="X471" s="9"/>
    </row>
    <row r="472">
      <c r="H472" s="5"/>
      <c r="O472" s="5"/>
      <c r="V472" s="5"/>
      <c r="X472" s="9"/>
    </row>
    <row r="473">
      <c r="H473" s="5"/>
      <c r="O473" s="5"/>
      <c r="V473" s="5"/>
      <c r="X473" s="9"/>
    </row>
    <row r="474">
      <c r="H474" s="5"/>
      <c r="O474" s="5"/>
      <c r="V474" s="5"/>
      <c r="X474" s="9"/>
    </row>
    <row r="475">
      <c r="H475" s="5"/>
      <c r="O475" s="5"/>
      <c r="V475" s="5"/>
      <c r="X475" s="9"/>
    </row>
    <row r="476">
      <c r="H476" s="5"/>
      <c r="O476" s="5"/>
      <c r="V476" s="5"/>
      <c r="X476" s="9"/>
    </row>
    <row r="477">
      <c r="H477" s="5"/>
      <c r="O477" s="5"/>
      <c r="V477" s="5"/>
      <c r="X477" s="9"/>
    </row>
    <row r="478">
      <c r="H478" s="5"/>
      <c r="O478" s="5"/>
      <c r="V478" s="5"/>
      <c r="X478" s="9"/>
    </row>
    <row r="479">
      <c r="H479" s="5"/>
      <c r="O479" s="5"/>
      <c r="V479" s="5"/>
      <c r="X479" s="9"/>
    </row>
    <row r="480">
      <c r="H480" s="5"/>
      <c r="O480" s="5"/>
      <c r="V480" s="5"/>
      <c r="X480" s="9"/>
    </row>
    <row r="481">
      <c r="H481" s="5"/>
      <c r="O481" s="5"/>
      <c r="V481" s="5"/>
      <c r="X481" s="9"/>
    </row>
    <row r="482">
      <c r="H482" s="5"/>
      <c r="O482" s="5"/>
      <c r="V482" s="5"/>
      <c r="X482" s="9"/>
    </row>
    <row r="483">
      <c r="H483" s="5"/>
      <c r="O483" s="5"/>
      <c r="V483" s="5"/>
      <c r="X483" s="9"/>
    </row>
    <row r="484">
      <c r="H484" s="5"/>
      <c r="O484" s="5"/>
      <c r="V484" s="5"/>
      <c r="X484" s="9"/>
    </row>
    <row r="485">
      <c r="H485" s="5"/>
      <c r="O485" s="5"/>
      <c r="V485" s="5"/>
      <c r="X485" s="9"/>
    </row>
    <row r="486">
      <c r="H486" s="5"/>
      <c r="O486" s="5"/>
      <c r="V486" s="5"/>
      <c r="X486" s="9"/>
    </row>
    <row r="487">
      <c r="H487" s="5"/>
      <c r="O487" s="5"/>
      <c r="V487" s="5"/>
      <c r="X487" s="9"/>
    </row>
    <row r="488">
      <c r="H488" s="5"/>
      <c r="O488" s="5"/>
      <c r="V488" s="5"/>
      <c r="X488" s="9"/>
    </row>
    <row r="489">
      <c r="H489" s="5"/>
      <c r="O489" s="5"/>
      <c r="V489" s="5"/>
      <c r="X489" s="9"/>
    </row>
    <row r="490">
      <c r="H490" s="5"/>
      <c r="O490" s="5"/>
      <c r="V490" s="5"/>
      <c r="X490" s="9"/>
    </row>
    <row r="491">
      <c r="H491" s="5"/>
      <c r="O491" s="5"/>
      <c r="V491" s="5"/>
      <c r="X491" s="9"/>
    </row>
    <row r="492">
      <c r="H492" s="5"/>
      <c r="O492" s="5"/>
      <c r="V492" s="5"/>
      <c r="X492" s="9"/>
    </row>
    <row r="493">
      <c r="H493" s="5"/>
      <c r="O493" s="5"/>
      <c r="V493" s="5"/>
      <c r="X493" s="9"/>
    </row>
    <row r="494">
      <c r="H494" s="5"/>
      <c r="O494" s="5"/>
      <c r="V494" s="5"/>
      <c r="X494" s="9"/>
    </row>
    <row r="495">
      <c r="H495" s="5"/>
      <c r="O495" s="5"/>
      <c r="V495" s="5"/>
      <c r="X495" s="9"/>
    </row>
    <row r="496">
      <c r="H496" s="5"/>
      <c r="O496" s="5"/>
      <c r="V496" s="5"/>
      <c r="X496" s="9"/>
    </row>
    <row r="497">
      <c r="H497" s="5"/>
      <c r="O497" s="5"/>
      <c r="V497" s="5"/>
      <c r="X497" s="9"/>
    </row>
    <row r="498">
      <c r="H498" s="5"/>
      <c r="O498" s="5"/>
      <c r="V498" s="5"/>
      <c r="X498" s="9"/>
    </row>
    <row r="499">
      <c r="H499" s="5"/>
      <c r="O499" s="5"/>
      <c r="V499" s="5"/>
      <c r="X499" s="9"/>
    </row>
    <row r="500">
      <c r="H500" s="5"/>
      <c r="O500" s="5"/>
      <c r="V500" s="5"/>
      <c r="X500" s="9"/>
    </row>
    <row r="501">
      <c r="H501" s="5"/>
      <c r="O501" s="5"/>
      <c r="V501" s="5"/>
      <c r="X501" s="9"/>
    </row>
    <row r="502">
      <c r="H502" s="5"/>
      <c r="O502" s="5"/>
      <c r="V502" s="5"/>
      <c r="X502" s="9"/>
    </row>
    <row r="503">
      <c r="H503" s="5"/>
      <c r="O503" s="5"/>
      <c r="V503" s="5"/>
      <c r="X503" s="9"/>
    </row>
    <row r="504">
      <c r="H504" s="5"/>
      <c r="O504" s="5"/>
      <c r="V504" s="5"/>
      <c r="X504" s="9"/>
    </row>
    <row r="505">
      <c r="H505" s="5"/>
      <c r="O505" s="5"/>
      <c r="V505" s="5"/>
      <c r="X505" s="9"/>
    </row>
    <row r="506">
      <c r="H506" s="5"/>
      <c r="O506" s="5"/>
      <c r="V506" s="5"/>
      <c r="X506" s="9"/>
    </row>
    <row r="507">
      <c r="H507" s="5"/>
      <c r="O507" s="5"/>
      <c r="V507" s="5"/>
      <c r="X507" s="9"/>
    </row>
    <row r="508">
      <c r="H508" s="5"/>
      <c r="O508" s="5"/>
      <c r="V508" s="5"/>
      <c r="X508" s="9"/>
    </row>
    <row r="509">
      <c r="H509" s="5"/>
      <c r="O509" s="5"/>
      <c r="V509" s="5"/>
      <c r="X509" s="9"/>
    </row>
    <row r="510">
      <c r="H510" s="5"/>
      <c r="O510" s="5"/>
      <c r="V510" s="5"/>
      <c r="X510" s="9"/>
    </row>
    <row r="511">
      <c r="H511" s="5"/>
      <c r="O511" s="5"/>
      <c r="V511" s="5"/>
      <c r="X511" s="9"/>
    </row>
    <row r="512">
      <c r="H512" s="5"/>
      <c r="O512" s="5"/>
      <c r="V512" s="5"/>
      <c r="X512" s="9"/>
    </row>
    <row r="513">
      <c r="H513" s="5"/>
      <c r="O513" s="5"/>
      <c r="V513" s="5"/>
      <c r="X513" s="9"/>
    </row>
    <row r="514">
      <c r="H514" s="5"/>
      <c r="O514" s="5"/>
      <c r="V514" s="5"/>
      <c r="X514" s="9"/>
    </row>
    <row r="515">
      <c r="H515" s="5"/>
      <c r="O515" s="5"/>
      <c r="V515" s="5"/>
      <c r="X515" s="9"/>
    </row>
    <row r="516">
      <c r="H516" s="5"/>
      <c r="O516" s="5"/>
      <c r="V516" s="5"/>
      <c r="X516" s="9"/>
    </row>
    <row r="517">
      <c r="H517" s="5"/>
      <c r="O517" s="5"/>
      <c r="V517" s="5"/>
      <c r="X517" s="9"/>
    </row>
    <row r="518">
      <c r="H518" s="5"/>
      <c r="O518" s="5"/>
      <c r="V518" s="5"/>
      <c r="X518" s="9"/>
    </row>
    <row r="519">
      <c r="H519" s="5"/>
      <c r="O519" s="5"/>
      <c r="V519" s="5"/>
      <c r="X519" s="9"/>
    </row>
    <row r="520">
      <c r="H520" s="5"/>
      <c r="O520" s="5"/>
      <c r="V520" s="5"/>
      <c r="X520" s="9"/>
    </row>
    <row r="521">
      <c r="H521" s="5"/>
      <c r="O521" s="5"/>
      <c r="V521" s="5"/>
      <c r="X521" s="9"/>
    </row>
    <row r="522">
      <c r="H522" s="5"/>
      <c r="O522" s="5"/>
      <c r="V522" s="5"/>
      <c r="X522" s="9"/>
    </row>
    <row r="523">
      <c r="H523" s="5"/>
      <c r="O523" s="5"/>
      <c r="V523" s="5"/>
      <c r="X523" s="9"/>
    </row>
    <row r="524">
      <c r="H524" s="5"/>
      <c r="O524" s="5"/>
      <c r="V524" s="5"/>
      <c r="X524" s="9"/>
    </row>
    <row r="525">
      <c r="H525" s="5"/>
      <c r="O525" s="5"/>
      <c r="V525" s="5"/>
      <c r="X525" s="9"/>
    </row>
    <row r="526">
      <c r="H526" s="5"/>
      <c r="O526" s="5"/>
      <c r="V526" s="5"/>
      <c r="X526" s="9"/>
    </row>
    <row r="527">
      <c r="H527" s="5"/>
      <c r="O527" s="5"/>
      <c r="V527" s="5"/>
      <c r="X527" s="9"/>
    </row>
    <row r="528">
      <c r="H528" s="5"/>
      <c r="O528" s="5"/>
      <c r="V528" s="5"/>
      <c r="X528" s="9"/>
    </row>
    <row r="529">
      <c r="H529" s="5"/>
      <c r="O529" s="5"/>
      <c r="V529" s="5"/>
      <c r="X529" s="9"/>
    </row>
    <row r="530">
      <c r="H530" s="5"/>
      <c r="O530" s="5"/>
      <c r="V530" s="5"/>
      <c r="X530" s="9"/>
    </row>
    <row r="531">
      <c r="H531" s="5"/>
      <c r="O531" s="5"/>
      <c r="V531" s="5"/>
      <c r="X531" s="9"/>
    </row>
    <row r="532">
      <c r="H532" s="5"/>
      <c r="O532" s="5"/>
      <c r="V532" s="5"/>
      <c r="X532" s="9"/>
    </row>
    <row r="533">
      <c r="H533" s="5"/>
      <c r="O533" s="5"/>
      <c r="V533" s="5"/>
      <c r="X533" s="9"/>
    </row>
    <row r="534">
      <c r="H534" s="5"/>
      <c r="O534" s="5"/>
      <c r="V534" s="5"/>
      <c r="X534" s="9"/>
    </row>
    <row r="535">
      <c r="H535" s="5"/>
      <c r="O535" s="5"/>
      <c r="V535" s="5"/>
      <c r="X535" s="9"/>
    </row>
    <row r="536">
      <c r="H536" s="5"/>
      <c r="O536" s="5"/>
      <c r="V536" s="5"/>
      <c r="X536" s="9"/>
    </row>
    <row r="537">
      <c r="H537" s="5"/>
      <c r="O537" s="5"/>
      <c r="V537" s="5"/>
      <c r="X537" s="9"/>
    </row>
    <row r="538">
      <c r="H538" s="5"/>
      <c r="O538" s="5"/>
      <c r="V538" s="5"/>
      <c r="X538" s="9"/>
    </row>
    <row r="539">
      <c r="H539" s="5"/>
      <c r="O539" s="5"/>
      <c r="V539" s="5"/>
      <c r="X539" s="9"/>
    </row>
    <row r="540">
      <c r="H540" s="5"/>
      <c r="O540" s="5"/>
      <c r="V540" s="5"/>
      <c r="X540" s="9"/>
    </row>
    <row r="541">
      <c r="H541" s="5"/>
      <c r="O541" s="5"/>
      <c r="V541" s="5"/>
      <c r="X541" s="9"/>
    </row>
    <row r="542">
      <c r="H542" s="5"/>
      <c r="O542" s="5"/>
      <c r="V542" s="5"/>
      <c r="X542" s="9"/>
    </row>
    <row r="543">
      <c r="H543" s="5"/>
      <c r="O543" s="5"/>
      <c r="V543" s="5"/>
      <c r="X543" s="9"/>
    </row>
    <row r="544">
      <c r="H544" s="5"/>
      <c r="O544" s="5"/>
      <c r="V544" s="5"/>
      <c r="X544" s="9"/>
    </row>
    <row r="545">
      <c r="H545" s="5"/>
      <c r="O545" s="5"/>
      <c r="V545" s="5"/>
      <c r="X545" s="9"/>
    </row>
    <row r="546">
      <c r="H546" s="5"/>
      <c r="O546" s="5"/>
      <c r="V546" s="5"/>
      <c r="X546" s="9"/>
    </row>
    <row r="547">
      <c r="H547" s="5"/>
      <c r="O547" s="5"/>
      <c r="V547" s="5"/>
      <c r="X547" s="9"/>
    </row>
    <row r="548">
      <c r="H548" s="5"/>
      <c r="O548" s="5"/>
      <c r="V548" s="5"/>
      <c r="X548" s="9"/>
    </row>
    <row r="549">
      <c r="H549" s="5"/>
      <c r="O549" s="5"/>
      <c r="V549" s="5"/>
      <c r="X549" s="9"/>
    </row>
    <row r="550">
      <c r="H550" s="5"/>
      <c r="O550" s="5"/>
      <c r="V550" s="5"/>
      <c r="X550" s="9"/>
    </row>
    <row r="551">
      <c r="H551" s="5"/>
      <c r="O551" s="5"/>
      <c r="V551" s="5"/>
      <c r="X551" s="9"/>
    </row>
    <row r="552">
      <c r="H552" s="5"/>
      <c r="O552" s="5"/>
      <c r="V552" s="5"/>
      <c r="X552" s="9"/>
    </row>
    <row r="553">
      <c r="H553" s="5"/>
      <c r="O553" s="5"/>
      <c r="V553" s="5"/>
      <c r="X553" s="9"/>
    </row>
    <row r="554">
      <c r="H554" s="5"/>
      <c r="O554" s="5"/>
      <c r="V554" s="5"/>
      <c r="X554" s="9"/>
    </row>
    <row r="555">
      <c r="H555" s="5"/>
      <c r="O555" s="5"/>
      <c r="V555" s="5"/>
      <c r="X555" s="9"/>
    </row>
    <row r="556">
      <c r="H556" s="5"/>
      <c r="O556" s="5"/>
      <c r="V556" s="5"/>
      <c r="X556" s="9"/>
    </row>
    <row r="557">
      <c r="H557" s="5"/>
      <c r="O557" s="5"/>
      <c r="V557" s="5"/>
      <c r="X557" s="9"/>
    </row>
    <row r="558">
      <c r="H558" s="5"/>
      <c r="O558" s="5"/>
      <c r="V558" s="5"/>
      <c r="X558" s="9"/>
    </row>
    <row r="559">
      <c r="H559" s="5"/>
      <c r="O559" s="5"/>
      <c r="V559" s="5"/>
      <c r="X559" s="9"/>
    </row>
    <row r="560">
      <c r="H560" s="5"/>
      <c r="O560" s="5"/>
      <c r="V560" s="5"/>
      <c r="X560" s="9"/>
    </row>
    <row r="561">
      <c r="H561" s="5"/>
      <c r="O561" s="5"/>
      <c r="V561" s="5"/>
      <c r="X561" s="9"/>
    </row>
    <row r="562">
      <c r="H562" s="5"/>
      <c r="O562" s="5"/>
      <c r="V562" s="5"/>
      <c r="X562" s="9"/>
    </row>
    <row r="563">
      <c r="H563" s="5"/>
      <c r="O563" s="5"/>
      <c r="V563" s="5"/>
      <c r="X563" s="9"/>
    </row>
    <row r="564">
      <c r="H564" s="5"/>
      <c r="O564" s="5"/>
      <c r="V564" s="5"/>
      <c r="X564" s="9"/>
    </row>
    <row r="565">
      <c r="H565" s="5"/>
      <c r="O565" s="5"/>
      <c r="V565" s="5"/>
      <c r="X565" s="9"/>
    </row>
    <row r="566">
      <c r="H566" s="5"/>
      <c r="O566" s="5"/>
      <c r="V566" s="5"/>
      <c r="X566" s="9"/>
    </row>
    <row r="567">
      <c r="H567" s="5"/>
      <c r="O567" s="5"/>
      <c r="V567" s="5"/>
      <c r="X567" s="9"/>
    </row>
    <row r="568">
      <c r="H568" s="5"/>
      <c r="O568" s="5"/>
      <c r="V568" s="5"/>
      <c r="X568" s="9"/>
    </row>
    <row r="569">
      <c r="H569" s="5"/>
      <c r="O569" s="5"/>
      <c r="V569" s="5"/>
      <c r="X569" s="9"/>
    </row>
    <row r="570">
      <c r="H570" s="5"/>
      <c r="O570" s="5"/>
      <c r="V570" s="5"/>
      <c r="X570" s="9"/>
    </row>
    <row r="571">
      <c r="H571" s="5"/>
      <c r="O571" s="5"/>
      <c r="V571" s="5"/>
      <c r="X571" s="9"/>
    </row>
    <row r="572">
      <c r="H572" s="5"/>
      <c r="O572" s="5"/>
      <c r="V572" s="5"/>
      <c r="X572" s="9"/>
    </row>
    <row r="573">
      <c r="H573" s="5"/>
      <c r="O573" s="5"/>
      <c r="V573" s="5"/>
      <c r="X573" s="9"/>
    </row>
    <row r="574">
      <c r="H574" s="5"/>
      <c r="O574" s="5"/>
      <c r="V574" s="5"/>
      <c r="X574" s="9"/>
    </row>
    <row r="575">
      <c r="H575" s="5"/>
      <c r="O575" s="5"/>
      <c r="V575" s="5"/>
      <c r="X575" s="9"/>
    </row>
    <row r="576">
      <c r="H576" s="5"/>
      <c r="O576" s="5"/>
      <c r="V576" s="5"/>
      <c r="X576" s="9"/>
    </row>
    <row r="577">
      <c r="H577" s="5"/>
      <c r="O577" s="5"/>
      <c r="V577" s="5"/>
      <c r="X577" s="9"/>
    </row>
    <row r="578">
      <c r="H578" s="5"/>
      <c r="O578" s="5"/>
      <c r="V578" s="5"/>
      <c r="X578" s="9"/>
    </row>
    <row r="579">
      <c r="H579" s="5"/>
      <c r="O579" s="5"/>
      <c r="V579" s="5"/>
      <c r="X579" s="9"/>
    </row>
    <row r="580">
      <c r="H580" s="5"/>
      <c r="O580" s="5"/>
      <c r="V580" s="5"/>
      <c r="X580" s="9"/>
    </row>
    <row r="581">
      <c r="H581" s="5"/>
      <c r="O581" s="5"/>
      <c r="V581" s="5"/>
      <c r="X581" s="9"/>
    </row>
    <row r="582">
      <c r="H582" s="5"/>
      <c r="O582" s="5"/>
      <c r="V582" s="5"/>
      <c r="X582" s="9"/>
    </row>
    <row r="583">
      <c r="H583" s="5"/>
      <c r="O583" s="5"/>
      <c r="V583" s="5"/>
      <c r="X583" s="9"/>
    </row>
    <row r="584">
      <c r="H584" s="5"/>
      <c r="O584" s="5"/>
      <c r="V584" s="5"/>
      <c r="X584" s="9"/>
    </row>
    <row r="585">
      <c r="H585" s="5"/>
      <c r="O585" s="5"/>
      <c r="V585" s="5"/>
      <c r="X585" s="9"/>
    </row>
    <row r="586">
      <c r="H586" s="5"/>
      <c r="O586" s="5"/>
      <c r="V586" s="5"/>
      <c r="X586" s="9"/>
    </row>
    <row r="587">
      <c r="H587" s="5"/>
      <c r="O587" s="5"/>
      <c r="V587" s="5"/>
      <c r="X587" s="9"/>
    </row>
    <row r="588">
      <c r="H588" s="5"/>
      <c r="O588" s="5"/>
      <c r="V588" s="5"/>
      <c r="X588" s="9"/>
    </row>
    <row r="589">
      <c r="H589" s="5"/>
      <c r="O589" s="5"/>
      <c r="V589" s="5"/>
      <c r="X589" s="9"/>
    </row>
    <row r="590">
      <c r="H590" s="5"/>
      <c r="O590" s="5"/>
      <c r="V590" s="5"/>
      <c r="X590" s="9"/>
    </row>
    <row r="591">
      <c r="H591" s="5"/>
      <c r="O591" s="5"/>
      <c r="V591" s="5"/>
      <c r="X591" s="9"/>
    </row>
    <row r="592">
      <c r="H592" s="5"/>
      <c r="O592" s="5"/>
      <c r="V592" s="5"/>
      <c r="X592" s="9"/>
    </row>
    <row r="593">
      <c r="H593" s="5"/>
      <c r="O593" s="5"/>
      <c r="V593" s="5"/>
      <c r="X593" s="9"/>
    </row>
    <row r="594">
      <c r="H594" s="5"/>
      <c r="O594" s="5"/>
      <c r="V594" s="5"/>
      <c r="X594" s="9"/>
    </row>
    <row r="595">
      <c r="H595" s="5"/>
      <c r="O595" s="5"/>
      <c r="V595" s="5"/>
      <c r="X595" s="9"/>
    </row>
    <row r="596">
      <c r="H596" s="5"/>
      <c r="O596" s="5"/>
      <c r="V596" s="5"/>
      <c r="X596" s="9"/>
    </row>
    <row r="597">
      <c r="H597" s="5"/>
      <c r="O597" s="5"/>
      <c r="V597" s="5"/>
      <c r="X597" s="9"/>
    </row>
    <row r="598">
      <c r="H598" s="5"/>
      <c r="O598" s="5"/>
      <c r="V598" s="5"/>
      <c r="X598" s="9"/>
    </row>
    <row r="599">
      <c r="H599" s="5"/>
      <c r="O599" s="5"/>
      <c r="V599" s="5"/>
      <c r="X599" s="9"/>
    </row>
    <row r="600">
      <c r="H600" s="5"/>
      <c r="O600" s="5"/>
      <c r="V600" s="5"/>
      <c r="X600" s="9"/>
    </row>
    <row r="601">
      <c r="H601" s="5"/>
      <c r="O601" s="5"/>
      <c r="V601" s="5"/>
      <c r="X601" s="9"/>
    </row>
    <row r="602">
      <c r="H602" s="5"/>
      <c r="O602" s="5"/>
      <c r="V602" s="5"/>
      <c r="X602" s="9"/>
    </row>
    <row r="603">
      <c r="H603" s="5"/>
      <c r="O603" s="5"/>
      <c r="V603" s="5"/>
      <c r="X603" s="9"/>
    </row>
    <row r="604">
      <c r="H604" s="5"/>
      <c r="O604" s="5"/>
      <c r="V604" s="5"/>
      <c r="X604" s="9"/>
    </row>
    <row r="605">
      <c r="H605" s="5"/>
      <c r="O605" s="5"/>
      <c r="V605" s="5"/>
      <c r="X605" s="9"/>
    </row>
    <row r="606">
      <c r="H606" s="5"/>
      <c r="O606" s="5"/>
      <c r="V606" s="5"/>
      <c r="X606" s="9"/>
    </row>
    <row r="607">
      <c r="H607" s="5"/>
      <c r="O607" s="5"/>
      <c r="V607" s="5"/>
      <c r="X607" s="9"/>
    </row>
    <row r="608">
      <c r="H608" s="5"/>
      <c r="O608" s="5"/>
      <c r="V608" s="5"/>
      <c r="X608" s="9"/>
    </row>
    <row r="609">
      <c r="H609" s="5"/>
      <c r="O609" s="5"/>
      <c r="V609" s="5"/>
      <c r="X609" s="9"/>
    </row>
    <row r="610">
      <c r="H610" s="5"/>
      <c r="O610" s="5"/>
      <c r="V610" s="5"/>
      <c r="X610" s="9"/>
    </row>
    <row r="611">
      <c r="H611" s="5"/>
      <c r="O611" s="5"/>
      <c r="V611" s="5"/>
      <c r="X611" s="9"/>
    </row>
    <row r="612">
      <c r="H612" s="5"/>
      <c r="O612" s="5"/>
      <c r="V612" s="5"/>
      <c r="X612" s="9"/>
    </row>
    <row r="613">
      <c r="H613" s="5"/>
      <c r="O613" s="5"/>
      <c r="V613" s="5"/>
      <c r="X613" s="9"/>
    </row>
    <row r="614">
      <c r="H614" s="5"/>
      <c r="O614" s="5"/>
      <c r="V614" s="5"/>
      <c r="X614" s="9"/>
    </row>
    <row r="615">
      <c r="H615" s="5"/>
      <c r="O615" s="5"/>
      <c r="V615" s="5"/>
      <c r="X615" s="9"/>
    </row>
    <row r="616">
      <c r="H616" s="5"/>
      <c r="O616" s="5"/>
      <c r="V616" s="5"/>
      <c r="X616" s="9"/>
    </row>
    <row r="617">
      <c r="H617" s="5"/>
      <c r="O617" s="5"/>
      <c r="V617" s="5"/>
      <c r="X617" s="9"/>
    </row>
    <row r="618">
      <c r="H618" s="5"/>
      <c r="O618" s="5"/>
      <c r="V618" s="5"/>
      <c r="X618" s="9"/>
    </row>
    <row r="619">
      <c r="H619" s="5"/>
      <c r="O619" s="5"/>
      <c r="V619" s="5"/>
      <c r="X619" s="9"/>
    </row>
    <row r="620">
      <c r="H620" s="5"/>
      <c r="O620" s="5"/>
      <c r="V620" s="5"/>
      <c r="X620" s="9"/>
    </row>
    <row r="621">
      <c r="H621" s="5"/>
      <c r="O621" s="5"/>
      <c r="V621" s="5"/>
      <c r="X621" s="9"/>
    </row>
    <row r="622">
      <c r="H622" s="5"/>
      <c r="O622" s="5"/>
      <c r="V622" s="5"/>
      <c r="X622" s="9"/>
    </row>
    <row r="623">
      <c r="H623" s="5"/>
      <c r="O623" s="5"/>
      <c r="V623" s="5"/>
      <c r="X623" s="9"/>
    </row>
    <row r="624">
      <c r="H624" s="5"/>
      <c r="O624" s="5"/>
      <c r="V624" s="5"/>
      <c r="X624" s="9"/>
    </row>
    <row r="625">
      <c r="H625" s="5"/>
      <c r="O625" s="5"/>
      <c r="V625" s="5"/>
      <c r="X625" s="9"/>
    </row>
    <row r="626">
      <c r="H626" s="5"/>
      <c r="O626" s="5"/>
      <c r="V626" s="5"/>
      <c r="X626" s="9"/>
    </row>
    <row r="627">
      <c r="H627" s="5"/>
      <c r="O627" s="5"/>
      <c r="V627" s="5"/>
      <c r="X627" s="9"/>
    </row>
    <row r="628">
      <c r="H628" s="5"/>
      <c r="O628" s="5"/>
      <c r="V628" s="5"/>
      <c r="X628" s="9"/>
    </row>
    <row r="629">
      <c r="H629" s="5"/>
      <c r="O629" s="5"/>
      <c r="V629" s="5"/>
      <c r="X629" s="9"/>
    </row>
    <row r="630">
      <c r="H630" s="5"/>
      <c r="O630" s="5"/>
      <c r="V630" s="5"/>
      <c r="X630" s="9"/>
    </row>
    <row r="631">
      <c r="H631" s="5"/>
      <c r="O631" s="5"/>
      <c r="V631" s="5"/>
      <c r="X631" s="9"/>
    </row>
    <row r="632">
      <c r="H632" s="5"/>
      <c r="O632" s="5"/>
      <c r="V632" s="5"/>
      <c r="X632" s="9"/>
    </row>
    <row r="633">
      <c r="H633" s="5"/>
      <c r="O633" s="5"/>
      <c r="V633" s="5"/>
      <c r="X633" s="9"/>
    </row>
    <row r="634">
      <c r="H634" s="5"/>
      <c r="O634" s="5"/>
      <c r="V634" s="5"/>
      <c r="X634" s="9"/>
    </row>
    <row r="635">
      <c r="H635" s="5"/>
      <c r="O635" s="5"/>
      <c r="V635" s="5"/>
      <c r="X635" s="9"/>
    </row>
    <row r="636">
      <c r="H636" s="5"/>
      <c r="O636" s="5"/>
      <c r="V636" s="5"/>
      <c r="X636" s="9"/>
    </row>
    <row r="637">
      <c r="H637" s="5"/>
      <c r="O637" s="5"/>
      <c r="V637" s="5"/>
      <c r="X637" s="9"/>
    </row>
    <row r="638">
      <c r="H638" s="5"/>
      <c r="O638" s="5"/>
      <c r="V638" s="5"/>
      <c r="X638" s="9"/>
    </row>
    <row r="639">
      <c r="H639" s="5"/>
      <c r="O639" s="5"/>
      <c r="V639" s="5"/>
      <c r="X639" s="9"/>
    </row>
    <row r="640">
      <c r="H640" s="5"/>
      <c r="O640" s="5"/>
      <c r="V640" s="5"/>
      <c r="X640" s="9"/>
    </row>
    <row r="641">
      <c r="H641" s="5"/>
      <c r="O641" s="5"/>
      <c r="V641" s="5"/>
      <c r="X641" s="9"/>
    </row>
    <row r="642">
      <c r="H642" s="5"/>
      <c r="O642" s="5"/>
      <c r="V642" s="5"/>
      <c r="X642" s="9"/>
    </row>
    <row r="643">
      <c r="H643" s="5"/>
      <c r="O643" s="5"/>
      <c r="V643" s="5"/>
      <c r="X643" s="9"/>
    </row>
    <row r="644">
      <c r="H644" s="5"/>
      <c r="O644" s="5"/>
      <c r="V644" s="5"/>
      <c r="X644" s="9"/>
    </row>
    <row r="645">
      <c r="H645" s="5"/>
      <c r="O645" s="5"/>
      <c r="V645" s="5"/>
      <c r="X645" s="9"/>
    </row>
    <row r="646">
      <c r="H646" s="5"/>
      <c r="O646" s="5"/>
      <c r="V646" s="5"/>
      <c r="X646" s="9"/>
    </row>
    <row r="647">
      <c r="H647" s="5"/>
      <c r="O647" s="5"/>
      <c r="V647" s="5"/>
      <c r="X647" s="9"/>
    </row>
    <row r="648">
      <c r="H648" s="5"/>
      <c r="O648" s="5"/>
      <c r="V648" s="5"/>
      <c r="X648" s="9"/>
    </row>
    <row r="649">
      <c r="H649" s="5"/>
      <c r="O649" s="5"/>
      <c r="V649" s="5"/>
      <c r="X649" s="9"/>
    </row>
    <row r="650">
      <c r="H650" s="5"/>
      <c r="O650" s="5"/>
      <c r="V650" s="5"/>
      <c r="X650" s="9"/>
    </row>
    <row r="651">
      <c r="H651" s="5"/>
      <c r="O651" s="5"/>
      <c r="V651" s="5"/>
      <c r="X651" s="9"/>
    </row>
    <row r="652">
      <c r="H652" s="5"/>
      <c r="O652" s="5"/>
      <c r="V652" s="5"/>
      <c r="X652" s="9"/>
    </row>
    <row r="653">
      <c r="H653" s="5"/>
      <c r="O653" s="5"/>
      <c r="V653" s="5"/>
      <c r="X653" s="9"/>
    </row>
    <row r="654">
      <c r="H654" s="5"/>
      <c r="O654" s="5"/>
      <c r="V654" s="5"/>
      <c r="X654" s="9"/>
    </row>
    <row r="655">
      <c r="H655" s="5"/>
      <c r="O655" s="5"/>
      <c r="V655" s="5"/>
      <c r="X655" s="9"/>
    </row>
    <row r="656">
      <c r="H656" s="5"/>
      <c r="O656" s="5"/>
      <c r="V656" s="5"/>
      <c r="X656" s="9"/>
    </row>
    <row r="657">
      <c r="H657" s="5"/>
      <c r="O657" s="5"/>
      <c r="V657" s="5"/>
      <c r="X657" s="9"/>
    </row>
    <row r="658">
      <c r="H658" s="5"/>
      <c r="O658" s="5"/>
      <c r="V658" s="5"/>
      <c r="X658" s="9"/>
    </row>
    <row r="659">
      <c r="H659" s="5"/>
      <c r="O659" s="5"/>
      <c r="V659" s="5"/>
      <c r="X659" s="9"/>
    </row>
    <row r="660">
      <c r="H660" s="5"/>
      <c r="O660" s="5"/>
      <c r="V660" s="5"/>
      <c r="X660" s="9"/>
    </row>
    <row r="661">
      <c r="H661" s="5"/>
      <c r="O661" s="5"/>
      <c r="V661" s="5"/>
      <c r="X661" s="9"/>
    </row>
    <row r="662">
      <c r="H662" s="5"/>
      <c r="O662" s="5"/>
      <c r="V662" s="5"/>
      <c r="X662" s="9"/>
    </row>
    <row r="663">
      <c r="H663" s="5"/>
      <c r="O663" s="5"/>
      <c r="V663" s="5"/>
      <c r="X663" s="9"/>
    </row>
    <row r="664">
      <c r="H664" s="5"/>
      <c r="O664" s="5"/>
      <c r="V664" s="5"/>
      <c r="X664" s="9"/>
    </row>
    <row r="665">
      <c r="H665" s="5"/>
      <c r="O665" s="5"/>
      <c r="V665" s="5"/>
      <c r="X665" s="9"/>
    </row>
    <row r="666">
      <c r="H666" s="5"/>
      <c r="O666" s="5"/>
      <c r="V666" s="5"/>
      <c r="X666" s="9"/>
    </row>
    <row r="667">
      <c r="H667" s="5"/>
      <c r="O667" s="5"/>
      <c r="V667" s="5"/>
      <c r="X667" s="9"/>
    </row>
    <row r="668">
      <c r="H668" s="5"/>
      <c r="O668" s="5"/>
      <c r="V668" s="5"/>
      <c r="X668" s="9"/>
    </row>
    <row r="669">
      <c r="H669" s="5"/>
      <c r="O669" s="5"/>
      <c r="V669" s="5"/>
      <c r="X669" s="9"/>
    </row>
    <row r="670">
      <c r="H670" s="5"/>
      <c r="O670" s="5"/>
      <c r="V670" s="5"/>
      <c r="X670" s="9"/>
    </row>
    <row r="671">
      <c r="H671" s="5"/>
      <c r="O671" s="5"/>
      <c r="V671" s="5"/>
      <c r="X671" s="9"/>
    </row>
    <row r="672">
      <c r="H672" s="5"/>
      <c r="O672" s="5"/>
      <c r="V672" s="5"/>
      <c r="X672" s="9"/>
    </row>
    <row r="673">
      <c r="H673" s="5"/>
      <c r="O673" s="5"/>
      <c r="V673" s="5"/>
      <c r="X673" s="9"/>
    </row>
    <row r="674">
      <c r="H674" s="5"/>
      <c r="O674" s="5"/>
      <c r="V674" s="5"/>
      <c r="X674" s="9"/>
    </row>
    <row r="675">
      <c r="H675" s="5"/>
      <c r="O675" s="5"/>
      <c r="V675" s="5"/>
      <c r="X675" s="9"/>
    </row>
    <row r="676">
      <c r="H676" s="5"/>
      <c r="O676" s="5"/>
      <c r="V676" s="5"/>
      <c r="X676" s="9"/>
    </row>
    <row r="677">
      <c r="H677" s="5"/>
      <c r="O677" s="5"/>
      <c r="V677" s="5"/>
      <c r="X677" s="9"/>
    </row>
    <row r="678">
      <c r="H678" s="5"/>
      <c r="O678" s="5"/>
      <c r="V678" s="5"/>
      <c r="X678" s="9"/>
    </row>
    <row r="679">
      <c r="H679" s="5"/>
      <c r="O679" s="5"/>
      <c r="V679" s="5"/>
      <c r="X679" s="9"/>
    </row>
    <row r="680">
      <c r="H680" s="5"/>
      <c r="O680" s="5"/>
      <c r="V680" s="5"/>
      <c r="X680" s="9"/>
    </row>
    <row r="681">
      <c r="H681" s="5"/>
      <c r="O681" s="5"/>
      <c r="V681" s="5"/>
      <c r="X681" s="9"/>
    </row>
    <row r="682">
      <c r="H682" s="5"/>
      <c r="O682" s="5"/>
      <c r="V682" s="5"/>
      <c r="X682" s="9"/>
    </row>
    <row r="683">
      <c r="H683" s="5"/>
      <c r="O683" s="5"/>
      <c r="V683" s="5"/>
      <c r="X683" s="9"/>
    </row>
    <row r="684">
      <c r="H684" s="5"/>
      <c r="O684" s="5"/>
      <c r="V684" s="5"/>
      <c r="X684" s="9"/>
    </row>
    <row r="685">
      <c r="H685" s="5"/>
      <c r="O685" s="5"/>
      <c r="V685" s="5"/>
      <c r="X685" s="9"/>
    </row>
    <row r="686">
      <c r="H686" s="5"/>
      <c r="O686" s="5"/>
      <c r="V686" s="5"/>
      <c r="X686" s="9"/>
    </row>
    <row r="687">
      <c r="H687" s="5"/>
      <c r="O687" s="5"/>
      <c r="V687" s="5"/>
      <c r="X687" s="9"/>
    </row>
    <row r="688">
      <c r="H688" s="5"/>
      <c r="O688" s="5"/>
      <c r="V688" s="5"/>
      <c r="X688" s="9"/>
    </row>
    <row r="689">
      <c r="H689" s="5"/>
      <c r="O689" s="5"/>
      <c r="V689" s="5"/>
      <c r="X689" s="9"/>
    </row>
    <row r="690">
      <c r="H690" s="5"/>
      <c r="O690" s="5"/>
      <c r="V690" s="5"/>
      <c r="X690" s="9"/>
    </row>
    <row r="691">
      <c r="H691" s="5"/>
      <c r="O691" s="5"/>
      <c r="V691" s="5"/>
      <c r="X691" s="9"/>
    </row>
    <row r="692">
      <c r="H692" s="5"/>
      <c r="O692" s="5"/>
      <c r="V692" s="5"/>
      <c r="X692" s="9"/>
    </row>
    <row r="693">
      <c r="H693" s="5"/>
      <c r="O693" s="5"/>
      <c r="V693" s="5"/>
      <c r="X693" s="9"/>
    </row>
    <row r="694">
      <c r="H694" s="5"/>
      <c r="O694" s="5"/>
      <c r="V694" s="5"/>
      <c r="X694" s="9"/>
    </row>
    <row r="695">
      <c r="H695" s="5"/>
      <c r="O695" s="5"/>
      <c r="V695" s="5"/>
      <c r="X695" s="9"/>
    </row>
    <row r="696">
      <c r="H696" s="5"/>
      <c r="O696" s="5"/>
      <c r="V696" s="5"/>
      <c r="X696" s="9"/>
    </row>
    <row r="697">
      <c r="H697" s="5"/>
      <c r="O697" s="5"/>
      <c r="V697" s="5"/>
      <c r="X697" s="9"/>
    </row>
    <row r="698">
      <c r="H698" s="5"/>
      <c r="O698" s="5"/>
      <c r="V698" s="5"/>
      <c r="X698" s="9"/>
    </row>
    <row r="699">
      <c r="H699" s="5"/>
      <c r="O699" s="5"/>
      <c r="V699" s="5"/>
      <c r="X699" s="9"/>
    </row>
    <row r="700">
      <c r="H700" s="5"/>
      <c r="O700" s="5"/>
      <c r="V700" s="5"/>
      <c r="X700" s="9"/>
    </row>
    <row r="701">
      <c r="H701" s="5"/>
      <c r="O701" s="5"/>
      <c r="V701" s="5"/>
      <c r="X701" s="9"/>
    </row>
    <row r="702">
      <c r="H702" s="5"/>
      <c r="O702" s="5"/>
      <c r="V702" s="5"/>
      <c r="X702" s="9"/>
    </row>
    <row r="703">
      <c r="H703" s="5"/>
      <c r="O703" s="5"/>
      <c r="V703" s="5"/>
      <c r="X703" s="9"/>
    </row>
    <row r="704">
      <c r="H704" s="5"/>
      <c r="O704" s="5"/>
      <c r="V704" s="5"/>
      <c r="X704" s="9"/>
    </row>
    <row r="705">
      <c r="H705" s="5"/>
      <c r="O705" s="5"/>
      <c r="V705" s="5"/>
      <c r="X705" s="9"/>
    </row>
    <row r="706">
      <c r="H706" s="5"/>
      <c r="O706" s="5"/>
      <c r="V706" s="5"/>
      <c r="X706" s="9"/>
    </row>
    <row r="707">
      <c r="H707" s="5"/>
      <c r="O707" s="5"/>
      <c r="V707" s="5"/>
      <c r="X707" s="9"/>
    </row>
    <row r="708">
      <c r="H708" s="5"/>
      <c r="O708" s="5"/>
      <c r="V708" s="5"/>
      <c r="X708" s="9"/>
    </row>
    <row r="709">
      <c r="H709" s="5"/>
      <c r="O709" s="5"/>
      <c r="V709" s="5"/>
      <c r="X709" s="9"/>
    </row>
    <row r="710">
      <c r="H710" s="5"/>
      <c r="O710" s="5"/>
      <c r="V710" s="5"/>
      <c r="X710" s="9"/>
    </row>
    <row r="711">
      <c r="H711" s="5"/>
      <c r="O711" s="5"/>
      <c r="V711" s="5"/>
      <c r="X711" s="9"/>
    </row>
    <row r="712">
      <c r="H712" s="5"/>
      <c r="O712" s="5"/>
      <c r="V712" s="5"/>
      <c r="X712" s="9"/>
    </row>
    <row r="713">
      <c r="H713" s="5"/>
      <c r="O713" s="5"/>
      <c r="V713" s="5"/>
      <c r="X713" s="9"/>
    </row>
    <row r="714">
      <c r="H714" s="5"/>
      <c r="O714" s="5"/>
      <c r="V714" s="5"/>
      <c r="X714" s="9"/>
    </row>
    <row r="715">
      <c r="H715" s="5"/>
      <c r="O715" s="5"/>
      <c r="V715" s="5"/>
      <c r="X715" s="9"/>
    </row>
    <row r="716">
      <c r="H716" s="5"/>
      <c r="O716" s="5"/>
      <c r="V716" s="5"/>
      <c r="X716" s="9"/>
    </row>
    <row r="717">
      <c r="H717" s="5"/>
      <c r="O717" s="5"/>
      <c r="V717" s="5"/>
      <c r="X717" s="9"/>
    </row>
    <row r="718">
      <c r="H718" s="5"/>
      <c r="O718" s="5"/>
      <c r="V718" s="5"/>
      <c r="X718" s="9"/>
    </row>
    <row r="719">
      <c r="H719" s="5"/>
      <c r="O719" s="5"/>
      <c r="V719" s="5"/>
      <c r="X719" s="9"/>
    </row>
    <row r="720">
      <c r="H720" s="5"/>
      <c r="O720" s="5"/>
      <c r="V720" s="5"/>
      <c r="X720" s="9"/>
    </row>
    <row r="721">
      <c r="H721" s="5"/>
      <c r="O721" s="5"/>
      <c r="V721" s="5"/>
      <c r="X721" s="9"/>
    </row>
    <row r="722">
      <c r="H722" s="5"/>
      <c r="O722" s="5"/>
      <c r="V722" s="5"/>
      <c r="X722" s="9"/>
    </row>
    <row r="723">
      <c r="H723" s="5"/>
      <c r="O723" s="5"/>
      <c r="V723" s="5"/>
      <c r="X723" s="9"/>
    </row>
    <row r="724">
      <c r="H724" s="5"/>
      <c r="O724" s="5"/>
      <c r="V724" s="5"/>
      <c r="X724" s="9"/>
    </row>
    <row r="725">
      <c r="H725" s="5"/>
      <c r="O725" s="5"/>
      <c r="V725" s="5"/>
      <c r="X725" s="9"/>
    </row>
    <row r="726">
      <c r="H726" s="5"/>
      <c r="O726" s="5"/>
      <c r="V726" s="5"/>
      <c r="X726" s="9"/>
    </row>
    <row r="727">
      <c r="H727" s="5"/>
      <c r="O727" s="5"/>
      <c r="V727" s="5"/>
      <c r="X727" s="9"/>
    </row>
    <row r="728">
      <c r="H728" s="5"/>
      <c r="O728" s="5"/>
      <c r="V728" s="5"/>
      <c r="X728" s="9"/>
    </row>
    <row r="729">
      <c r="H729" s="5"/>
      <c r="O729" s="5"/>
      <c r="V729" s="5"/>
      <c r="X729" s="9"/>
    </row>
    <row r="730">
      <c r="H730" s="5"/>
      <c r="O730" s="5"/>
      <c r="V730" s="5"/>
      <c r="X730" s="9"/>
    </row>
    <row r="731">
      <c r="H731" s="5"/>
      <c r="O731" s="5"/>
      <c r="V731" s="5"/>
      <c r="X731" s="9"/>
    </row>
    <row r="732">
      <c r="H732" s="5"/>
      <c r="O732" s="5"/>
      <c r="V732" s="5"/>
      <c r="X732" s="9"/>
    </row>
    <row r="733">
      <c r="H733" s="5"/>
      <c r="O733" s="5"/>
      <c r="V733" s="5"/>
      <c r="X733" s="9"/>
    </row>
    <row r="734">
      <c r="H734" s="5"/>
      <c r="O734" s="5"/>
      <c r="V734" s="5"/>
      <c r="X734" s="9"/>
    </row>
    <row r="735">
      <c r="H735" s="5"/>
      <c r="O735" s="5"/>
      <c r="V735" s="5"/>
      <c r="X735" s="9"/>
    </row>
    <row r="736">
      <c r="H736" s="5"/>
      <c r="O736" s="5"/>
      <c r="V736" s="5"/>
      <c r="X736" s="9"/>
    </row>
    <row r="737">
      <c r="H737" s="5"/>
      <c r="O737" s="5"/>
      <c r="V737" s="5"/>
      <c r="X737" s="9"/>
    </row>
    <row r="738">
      <c r="H738" s="5"/>
      <c r="O738" s="5"/>
      <c r="V738" s="5"/>
      <c r="X738" s="9"/>
    </row>
    <row r="739">
      <c r="H739" s="5"/>
      <c r="O739" s="5"/>
      <c r="V739" s="5"/>
      <c r="X739" s="9"/>
    </row>
    <row r="740">
      <c r="H740" s="5"/>
      <c r="O740" s="5"/>
      <c r="V740" s="5"/>
      <c r="X740" s="9"/>
    </row>
    <row r="741">
      <c r="H741" s="5"/>
      <c r="O741" s="5"/>
      <c r="V741" s="5"/>
      <c r="X741" s="9"/>
    </row>
    <row r="742">
      <c r="H742" s="5"/>
      <c r="O742" s="5"/>
      <c r="V742" s="5"/>
      <c r="X742" s="9"/>
    </row>
    <row r="743">
      <c r="H743" s="5"/>
      <c r="O743" s="5"/>
      <c r="V743" s="5"/>
      <c r="X743" s="9"/>
    </row>
    <row r="744">
      <c r="H744" s="5"/>
      <c r="O744" s="5"/>
      <c r="V744" s="5"/>
      <c r="X744" s="9"/>
    </row>
    <row r="745">
      <c r="H745" s="5"/>
      <c r="O745" s="5"/>
      <c r="V745" s="5"/>
      <c r="X745" s="9"/>
    </row>
    <row r="746">
      <c r="H746" s="5"/>
      <c r="O746" s="5"/>
      <c r="V746" s="5"/>
      <c r="X746" s="9"/>
    </row>
    <row r="747">
      <c r="H747" s="5"/>
      <c r="O747" s="5"/>
      <c r="V747" s="5"/>
      <c r="X747" s="9"/>
    </row>
    <row r="748">
      <c r="H748" s="5"/>
      <c r="O748" s="5"/>
      <c r="V748" s="5"/>
      <c r="X748" s="9"/>
    </row>
    <row r="749">
      <c r="H749" s="5"/>
      <c r="O749" s="5"/>
      <c r="V749" s="5"/>
      <c r="X749" s="9"/>
    </row>
    <row r="750">
      <c r="H750" s="5"/>
      <c r="O750" s="5"/>
      <c r="V750" s="5"/>
      <c r="X750" s="9"/>
    </row>
    <row r="751">
      <c r="H751" s="5"/>
      <c r="O751" s="5"/>
      <c r="V751" s="5"/>
      <c r="X751" s="9"/>
    </row>
    <row r="752">
      <c r="H752" s="5"/>
      <c r="O752" s="5"/>
      <c r="V752" s="5"/>
      <c r="X752" s="9"/>
    </row>
    <row r="753">
      <c r="H753" s="5"/>
      <c r="O753" s="5"/>
      <c r="V753" s="5"/>
      <c r="X753" s="9"/>
    </row>
    <row r="754">
      <c r="H754" s="5"/>
      <c r="O754" s="5"/>
      <c r="V754" s="5"/>
      <c r="X754" s="9"/>
    </row>
    <row r="755">
      <c r="H755" s="5"/>
      <c r="O755" s="5"/>
      <c r="V755" s="5"/>
      <c r="X755" s="9"/>
    </row>
    <row r="756">
      <c r="H756" s="5"/>
      <c r="O756" s="5"/>
      <c r="V756" s="5"/>
      <c r="X756" s="9"/>
    </row>
    <row r="757">
      <c r="H757" s="5"/>
      <c r="O757" s="5"/>
      <c r="V757" s="5"/>
      <c r="X757" s="9"/>
    </row>
    <row r="758">
      <c r="H758" s="5"/>
      <c r="O758" s="5"/>
      <c r="V758" s="5"/>
      <c r="X758" s="9"/>
    </row>
    <row r="759">
      <c r="H759" s="5"/>
      <c r="O759" s="5"/>
      <c r="V759" s="5"/>
      <c r="X759" s="9"/>
    </row>
    <row r="760">
      <c r="H760" s="5"/>
      <c r="O760" s="5"/>
      <c r="V760" s="5"/>
      <c r="X760" s="9"/>
    </row>
    <row r="761">
      <c r="H761" s="5"/>
      <c r="O761" s="5"/>
      <c r="V761" s="5"/>
      <c r="X761" s="9"/>
    </row>
    <row r="762">
      <c r="H762" s="5"/>
      <c r="O762" s="5"/>
      <c r="V762" s="5"/>
      <c r="X762" s="9"/>
    </row>
    <row r="763">
      <c r="H763" s="5"/>
      <c r="O763" s="5"/>
      <c r="V763" s="5"/>
      <c r="X763" s="9"/>
    </row>
    <row r="764">
      <c r="H764" s="5"/>
      <c r="O764" s="5"/>
      <c r="V764" s="5"/>
      <c r="X764" s="9"/>
    </row>
    <row r="765">
      <c r="H765" s="5"/>
      <c r="O765" s="5"/>
      <c r="V765" s="5"/>
      <c r="X765" s="9"/>
    </row>
    <row r="766">
      <c r="H766" s="5"/>
      <c r="O766" s="5"/>
      <c r="V766" s="5"/>
      <c r="X766" s="9"/>
    </row>
    <row r="767">
      <c r="H767" s="5"/>
      <c r="O767" s="5"/>
      <c r="V767" s="5"/>
      <c r="X767" s="9"/>
    </row>
    <row r="768">
      <c r="H768" s="5"/>
      <c r="O768" s="5"/>
      <c r="V768" s="5"/>
      <c r="X768" s="9"/>
    </row>
    <row r="769">
      <c r="H769" s="5"/>
      <c r="O769" s="5"/>
      <c r="V769" s="5"/>
      <c r="X769" s="9"/>
    </row>
    <row r="770">
      <c r="H770" s="5"/>
      <c r="O770" s="5"/>
      <c r="V770" s="5"/>
      <c r="X770" s="9"/>
    </row>
    <row r="771">
      <c r="H771" s="5"/>
      <c r="O771" s="5"/>
      <c r="V771" s="5"/>
      <c r="X771" s="9"/>
    </row>
    <row r="772">
      <c r="H772" s="5"/>
      <c r="O772" s="5"/>
      <c r="V772" s="5"/>
      <c r="X772" s="9"/>
    </row>
    <row r="773">
      <c r="H773" s="5"/>
      <c r="O773" s="5"/>
      <c r="V773" s="5"/>
      <c r="X773" s="9"/>
    </row>
    <row r="774">
      <c r="H774" s="5"/>
      <c r="O774" s="5"/>
      <c r="V774" s="5"/>
      <c r="X774" s="9"/>
    </row>
    <row r="775">
      <c r="H775" s="5"/>
      <c r="O775" s="5"/>
      <c r="V775" s="5"/>
      <c r="X775" s="9"/>
    </row>
    <row r="776">
      <c r="H776" s="5"/>
      <c r="O776" s="5"/>
      <c r="V776" s="5"/>
      <c r="X776" s="9"/>
    </row>
    <row r="777">
      <c r="H777" s="5"/>
      <c r="O777" s="5"/>
      <c r="V777" s="5"/>
      <c r="X777" s="9"/>
    </row>
    <row r="778">
      <c r="H778" s="5"/>
      <c r="O778" s="5"/>
      <c r="V778" s="5"/>
      <c r="X778" s="9"/>
    </row>
    <row r="779">
      <c r="H779" s="5"/>
      <c r="O779" s="5"/>
      <c r="V779" s="5"/>
      <c r="X779" s="9"/>
    </row>
    <row r="780">
      <c r="H780" s="5"/>
      <c r="O780" s="5"/>
      <c r="V780" s="5"/>
      <c r="X780" s="9"/>
    </row>
    <row r="781">
      <c r="H781" s="5"/>
      <c r="O781" s="5"/>
      <c r="V781" s="5"/>
      <c r="X781" s="9"/>
    </row>
    <row r="782">
      <c r="H782" s="5"/>
      <c r="O782" s="5"/>
      <c r="V782" s="5"/>
      <c r="X782" s="9"/>
    </row>
    <row r="783">
      <c r="H783" s="5"/>
      <c r="O783" s="5"/>
      <c r="V783" s="5"/>
      <c r="X783" s="9"/>
    </row>
    <row r="784">
      <c r="H784" s="5"/>
      <c r="O784" s="5"/>
      <c r="V784" s="5"/>
      <c r="X784" s="9"/>
    </row>
    <row r="785">
      <c r="H785" s="5"/>
      <c r="O785" s="5"/>
      <c r="V785" s="5"/>
      <c r="X785" s="9"/>
    </row>
    <row r="786">
      <c r="H786" s="5"/>
      <c r="O786" s="5"/>
      <c r="V786" s="5"/>
      <c r="X786" s="9"/>
    </row>
    <row r="787">
      <c r="H787" s="5"/>
      <c r="O787" s="5"/>
      <c r="V787" s="5"/>
      <c r="X787" s="9"/>
    </row>
    <row r="788">
      <c r="H788" s="5"/>
      <c r="O788" s="5"/>
      <c r="V788" s="5"/>
      <c r="X788" s="9"/>
    </row>
    <row r="789">
      <c r="H789" s="5"/>
      <c r="O789" s="5"/>
      <c r="V789" s="5"/>
      <c r="X789" s="9"/>
    </row>
    <row r="790">
      <c r="H790" s="5"/>
      <c r="O790" s="5"/>
      <c r="V790" s="5"/>
      <c r="X790" s="9"/>
    </row>
    <row r="791">
      <c r="H791" s="5"/>
      <c r="O791" s="5"/>
      <c r="V791" s="5"/>
      <c r="X791" s="9"/>
    </row>
    <row r="792">
      <c r="H792" s="5"/>
      <c r="O792" s="5"/>
      <c r="V792" s="5"/>
      <c r="X792" s="9"/>
    </row>
    <row r="793">
      <c r="H793" s="5"/>
      <c r="O793" s="5"/>
      <c r="V793" s="5"/>
      <c r="X793" s="9"/>
    </row>
    <row r="794">
      <c r="H794" s="5"/>
      <c r="O794" s="5"/>
      <c r="V794" s="5"/>
      <c r="X794" s="9"/>
    </row>
    <row r="795">
      <c r="H795" s="5"/>
      <c r="O795" s="5"/>
      <c r="V795" s="5"/>
      <c r="X795" s="9"/>
    </row>
    <row r="796">
      <c r="H796" s="5"/>
      <c r="O796" s="5"/>
      <c r="V796" s="5"/>
      <c r="X796" s="9"/>
    </row>
    <row r="797">
      <c r="H797" s="5"/>
      <c r="O797" s="5"/>
      <c r="V797" s="5"/>
      <c r="X797" s="9"/>
    </row>
    <row r="798">
      <c r="H798" s="5"/>
      <c r="O798" s="5"/>
      <c r="V798" s="5"/>
      <c r="X798" s="9"/>
    </row>
    <row r="799">
      <c r="H799" s="5"/>
      <c r="O799" s="5"/>
      <c r="V799" s="5"/>
      <c r="X799" s="9"/>
    </row>
    <row r="800">
      <c r="H800" s="5"/>
      <c r="O800" s="5"/>
      <c r="V800" s="5"/>
      <c r="X800" s="9"/>
    </row>
    <row r="801">
      <c r="H801" s="5"/>
      <c r="O801" s="5"/>
      <c r="V801" s="5"/>
      <c r="X801" s="9"/>
    </row>
    <row r="802">
      <c r="H802" s="5"/>
      <c r="O802" s="5"/>
      <c r="V802" s="5"/>
      <c r="X802" s="9"/>
    </row>
    <row r="803">
      <c r="H803" s="5"/>
      <c r="O803" s="5"/>
      <c r="V803" s="5"/>
      <c r="X803" s="9"/>
    </row>
    <row r="804">
      <c r="H804" s="5"/>
      <c r="O804" s="5"/>
      <c r="V804" s="5"/>
      <c r="X804" s="9"/>
    </row>
    <row r="805">
      <c r="H805" s="5"/>
      <c r="O805" s="5"/>
      <c r="V805" s="5"/>
      <c r="X805" s="9"/>
    </row>
    <row r="806">
      <c r="H806" s="5"/>
      <c r="O806" s="5"/>
      <c r="V806" s="5"/>
      <c r="X806" s="9"/>
    </row>
    <row r="807">
      <c r="H807" s="5"/>
      <c r="O807" s="5"/>
      <c r="V807" s="5"/>
      <c r="X807" s="9"/>
    </row>
    <row r="808">
      <c r="H808" s="5"/>
      <c r="O808" s="5"/>
      <c r="V808" s="5"/>
      <c r="X808" s="9"/>
    </row>
    <row r="809">
      <c r="H809" s="5"/>
      <c r="O809" s="5"/>
      <c r="V809" s="5"/>
      <c r="X809" s="9"/>
    </row>
    <row r="810">
      <c r="H810" s="5"/>
      <c r="O810" s="5"/>
      <c r="V810" s="5"/>
      <c r="X810" s="9"/>
    </row>
    <row r="811">
      <c r="H811" s="5"/>
      <c r="O811" s="5"/>
      <c r="V811" s="5"/>
      <c r="X811" s="9"/>
    </row>
    <row r="812">
      <c r="H812" s="5"/>
      <c r="O812" s="5"/>
      <c r="V812" s="5"/>
      <c r="X812" s="9"/>
    </row>
    <row r="813">
      <c r="H813" s="5"/>
      <c r="O813" s="5"/>
      <c r="V813" s="5"/>
      <c r="X813" s="9"/>
    </row>
    <row r="814">
      <c r="H814" s="5"/>
      <c r="O814" s="5"/>
      <c r="V814" s="5"/>
      <c r="X814" s="9"/>
    </row>
    <row r="815">
      <c r="H815" s="5"/>
      <c r="O815" s="5"/>
      <c r="V815" s="5"/>
      <c r="X815" s="9"/>
    </row>
    <row r="816">
      <c r="H816" s="5"/>
      <c r="O816" s="5"/>
      <c r="V816" s="5"/>
      <c r="X816" s="9"/>
    </row>
    <row r="817">
      <c r="H817" s="5"/>
      <c r="O817" s="5"/>
      <c r="V817" s="5"/>
      <c r="X817" s="9"/>
    </row>
    <row r="818">
      <c r="H818" s="5"/>
      <c r="O818" s="5"/>
      <c r="V818" s="5"/>
      <c r="X818" s="9"/>
    </row>
    <row r="819">
      <c r="H819" s="5"/>
      <c r="O819" s="5"/>
      <c r="V819" s="5"/>
      <c r="X819" s="9"/>
    </row>
    <row r="820">
      <c r="H820" s="5"/>
      <c r="O820" s="5"/>
      <c r="V820" s="5"/>
      <c r="X820" s="9"/>
    </row>
    <row r="821">
      <c r="H821" s="5"/>
      <c r="O821" s="5"/>
      <c r="V821" s="5"/>
      <c r="X821" s="9"/>
    </row>
    <row r="822">
      <c r="H822" s="5"/>
      <c r="O822" s="5"/>
      <c r="V822" s="5"/>
      <c r="X822" s="9"/>
    </row>
    <row r="823">
      <c r="H823" s="5"/>
      <c r="O823" s="5"/>
      <c r="V823" s="5"/>
      <c r="X823" s="9"/>
    </row>
    <row r="824">
      <c r="H824" s="5"/>
      <c r="O824" s="5"/>
      <c r="V824" s="5"/>
      <c r="X824" s="9"/>
    </row>
    <row r="825">
      <c r="H825" s="5"/>
      <c r="O825" s="5"/>
      <c r="V825" s="5"/>
      <c r="X825" s="9"/>
    </row>
    <row r="826">
      <c r="H826" s="5"/>
      <c r="O826" s="5"/>
      <c r="V826" s="5"/>
      <c r="X826" s="9"/>
    </row>
    <row r="827">
      <c r="H827" s="5"/>
      <c r="O827" s="5"/>
      <c r="V827" s="5"/>
      <c r="X827" s="9"/>
    </row>
    <row r="828">
      <c r="H828" s="5"/>
      <c r="O828" s="5"/>
      <c r="V828" s="5"/>
      <c r="X828" s="9"/>
    </row>
    <row r="829">
      <c r="H829" s="5"/>
      <c r="O829" s="5"/>
      <c r="V829" s="5"/>
      <c r="X829" s="9"/>
    </row>
    <row r="830">
      <c r="H830" s="5"/>
      <c r="O830" s="5"/>
      <c r="V830" s="5"/>
      <c r="X830" s="9"/>
    </row>
    <row r="831">
      <c r="H831" s="5"/>
      <c r="O831" s="5"/>
      <c r="V831" s="5"/>
      <c r="X831" s="9"/>
    </row>
    <row r="832">
      <c r="H832" s="5"/>
      <c r="O832" s="5"/>
      <c r="V832" s="5"/>
      <c r="X832" s="9"/>
    </row>
    <row r="833">
      <c r="H833" s="5"/>
      <c r="O833" s="5"/>
      <c r="V833" s="5"/>
      <c r="X833" s="9"/>
    </row>
    <row r="834">
      <c r="H834" s="5"/>
      <c r="O834" s="5"/>
      <c r="V834" s="5"/>
      <c r="X834" s="9"/>
    </row>
    <row r="835">
      <c r="H835" s="5"/>
      <c r="O835" s="5"/>
      <c r="V835" s="5"/>
      <c r="X835" s="9"/>
    </row>
    <row r="836">
      <c r="H836" s="5"/>
      <c r="O836" s="5"/>
      <c r="V836" s="5"/>
      <c r="X836" s="9"/>
    </row>
    <row r="837">
      <c r="H837" s="5"/>
      <c r="O837" s="5"/>
      <c r="V837" s="5"/>
      <c r="X837" s="9"/>
    </row>
    <row r="838">
      <c r="H838" s="5"/>
      <c r="O838" s="5"/>
      <c r="V838" s="5"/>
      <c r="X838" s="9"/>
    </row>
    <row r="839">
      <c r="H839" s="5"/>
      <c r="O839" s="5"/>
      <c r="V839" s="5"/>
      <c r="X839" s="9"/>
    </row>
    <row r="840">
      <c r="H840" s="5"/>
      <c r="O840" s="5"/>
      <c r="V840" s="5"/>
      <c r="X840" s="9"/>
    </row>
    <row r="841">
      <c r="H841" s="5"/>
      <c r="O841" s="5"/>
      <c r="V841" s="5"/>
      <c r="X841" s="9"/>
    </row>
    <row r="842">
      <c r="H842" s="5"/>
      <c r="O842" s="5"/>
      <c r="V842" s="5"/>
      <c r="X842" s="9"/>
    </row>
    <row r="843">
      <c r="H843" s="5"/>
      <c r="O843" s="5"/>
      <c r="V843" s="5"/>
      <c r="X843" s="9"/>
    </row>
    <row r="844">
      <c r="H844" s="5"/>
      <c r="O844" s="5"/>
      <c r="V844" s="5"/>
      <c r="X844" s="9"/>
    </row>
    <row r="845">
      <c r="H845" s="5"/>
      <c r="O845" s="5"/>
      <c r="V845" s="5"/>
      <c r="X845" s="9"/>
    </row>
    <row r="846">
      <c r="H846" s="5"/>
      <c r="O846" s="5"/>
      <c r="V846" s="5"/>
      <c r="X846" s="9"/>
    </row>
    <row r="847">
      <c r="H847" s="5"/>
      <c r="O847" s="5"/>
      <c r="V847" s="5"/>
      <c r="X847" s="9"/>
    </row>
    <row r="848">
      <c r="H848" s="5"/>
      <c r="O848" s="5"/>
      <c r="V848" s="5"/>
      <c r="X848" s="9"/>
    </row>
    <row r="849">
      <c r="H849" s="5"/>
      <c r="O849" s="5"/>
      <c r="V849" s="5"/>
      <c r="X849" s="9"/>
    </row>
    <row r="850">
      <c r="H850" s="5"/>
      <c r="O850" s="5"/>
      <c r="V850" s="5"/>
      <c r="X850" s="9"/>
    </row>
    <row r="851">
      <c r="H851" s="5"/>
      <c r="O851" s="5"/>
      <c r="V851" s="5"/>
      <c r="X851" s="9"/>
    </row>
    <row r="852">
      <c r="H852" s="5"/>
      <c r="O852" s="5"/>
      <c r="V852" s="5"/>
      <c r="X852" s="9"/>
    </row>
    <row r="853">
      <c r="H853" s="5"/>
      <c r="O853" s="5"/>
      <c r="V853" s="5"/>
      <c r="X853" s="9"/>
    </row>
    <row r="854">
      <c r="H854" s="5"/>
      <c r="O854" s="5"/>
      <c r="V854" s="5"/>
      <c r="X854" s="9"/>
    </row>
    <row r="855">
      <c r="H855" s="5"/>
      <c r="O855" s="5"/>
      <c r="V855" s="5"/>
      <c r="X855" s="9"/>
    </row>
    <row r="856">
      <c r="H856" s="5"/>
      <c r="O856" s="5"/>
      <c r="V856" s="5"/>
      <c r="X856" s="9"/>
    </row>
    <row r="857">
      <c r="H857" s="5"/>
      <c r="O857" s="5"/>
      <c r="V857" s="5"/>
      <c r="X857" s="9"/>
    </row>
    <row r="858">
      <c r="H858" s="5"/>
      <c r="O858" s="5"/>
      <c r="V858" s="5"/>
      <c r="X858" s="9"/>
    </row>
    <row r="859">
      <c r="H859" s="5"/>
      <c r="O859" s="5"/>
      <c r="V859" s="5"/>
      <c r="X859" s="9"/>
    </row>
    <row r="860">
      <c r="H860" s="5"/>
      <c r="O860" s="5"/>
      <c r="V860" s="5"/>
      <c r="X860" s="9"/>
    </row>
    <row r="861">
      <c r="H861" s="5"/>
      <c r="O861" s="5"/>
      <c r="V861" s="5"/>
      <c r="X861" s="9"/>
    </row>
    <row r="862">
      <c r="H862" s="5"/>
      <c r="O862" s="5"/>
      <c r="V862" s="5"/>
      <c r="X862" s="9"/>
    </row>
    <row r="863">
      <c r="H863" s="5"/>
      <c r="O863" s="5"/>
      <c r="V863" s="5"/>
      <c r="X863" s="9"/>
    </row>
    <row r="864">
      <c r="H864" s="5"/>
      <c r="O864" s="5"/>
      <c r="V864" s="5"/>
      <c r="X864" s="9"/>
    </row>
    <row r="865">
      <c r="H865" s="5"/>
      <c r="O865" s="5"/>
      <c r="V865" s="5"/>
      <c r="X865" s="9"/>
    </row>
    <row r="866">
      <c r="H866" s="5"/>
      <c r="O866" s="5"/>
      <c r="V866" s="5"/>
      <c r="X866" s="9"/>
    </row>
    <row r="867">
      <c r="H867" s="5"/>
      <c r="O867" s="5"/>
      <c r="V867" s="5"/>
      <c r="X867" s="9"/>
    </row>
    <row r="868">
      <c r="H868" s="5"/>
      <c r="O868" s="5"/>
      <c r="V868" s="5"/>
      <c r="X868" s="9"/>
    </row>
    <row r="869">
      <c r="H869" s="5"/>
      <c r="O869" s="5"/>
      <c r="V869" s="5"/>
      <c r="X869" s="9"/>
    </row>
    <row r="870">
      <c r="H870" s="5"/>
      <c r="O870" s="5"/>
      <c r="V870" s="5"/>
      <c r="X870" s="9"/>
    </row>
    <row r="871">
      <c r="H871" s="5"/>
      <c r="O871" s="5"/>
      <c r="V871" s="5"/>
      <c r="X871" s="9"/>
    </row>
    <row r="872">
      <c r="H872" s="5"/>
      <c r="O872" s="5"/>
      <c r="V872" s="5"/>
      <c r="X872" s="9"/>
    </row>
    <row r="873">
      <c r="H873" s="5"/>
      <c r="O873" s="5"/>
      <c r="V873" s="5"/>
      <c r="X873" s="9"/>
    </row>
    <row r="874">
      <c r="H874" s="5"/>
      <c r="O874" s="5"/>
      <c r="V874" s="5"/>
      <c r="X874" s="9"/>
    </row>
    <row r="875">
      <c r="H875" s="5"/>
      <c r="O875" s="5"/>
      <c r="V875" s="5"/>
      <c r="X875" s="9"/>
    </row>
    <row r="876">
      <c r="H876" s="5"/>
      <c r="O876" s="5"/>
      <c r="V876" s="5"/>
      <c r="X876" s="9"/>
    </row>
    <row r="877">
      <c r="H877" s="5"/>
      <c r="O877" s="5"/>
      <c r="V877" s="5"/>
      <c r="X877" s="9"/>
    </row>
    <row r="878">
      <c r="H878" s="5"/>
      <c r="O878" s="5"/>
      <c r="V878" s="5"/>
      <c r="X878" s="9"/>
    </row>
    <row r="879">
      <c r="H879" s="5"/>
      <c r="O879" s="5"/>
      <c r="V879" s="5"/>
      <c r="X879" s="9"/>
    </row>
    <row r="880">
      <c r="H880" s="5"/>
      <c r="O880" s="5"/>
      <c r="V880" s="5"/>
      <c r="X880" s="9"/>
    </row>
    <row r="881">
      <c r="H881" s="5"/>
      <c r="O881" s="5"/>
      <c r="V881" s="5"/>
      <c r="X881" s="9"/>
    </row>
    <row r="882">
      <c r="H882" s="5"/>
      <c r="O882" s="5"/>
      <c r="V882" s="5"/>
      <c r="X882" s="9"/>
    </row>
    <row r="883">
      <c r="H883" s="5"/>
      <c r="O883" s="5"/>
      <c r="V883" s="5"/>
      <c r="X883" s="9"/>
    </row>
    <row r="884">
      <c r="H884" s="5"/>
      <c r="O884" s="5"/>
      <c r="V884" s="5"/>
      <c r="X884" s="9"/>
    </row>
    <row r="885">
      <c r="H885" s="5"/>
      <c r="O885" s="5"/>
      <c r="V885" s="5"/>
      <c r="X885" s="9"/>
    </row>
    <row r="886">
      <c r="H886" s="5"/>
      <c r="O886" s="5"/>
      <c r="V886" s="5"/>
      <c r="X886" s="9"/>
    </row>
    <row r="887">
      <c r="H887" s="5"/>
      <c r="O887" s="5"/>
      <c r="V887" s="5"/>
      <c r="X887" s="9"/>
    </row>
    <row r="888">
      <c r="H888" s="5"/>
      <c r="O888" s="5"/>
      <c r="V888" s="5"/>
      <c r="X888" s="9"/>
    </row>
    <row r="889">
      <c r="H889" s="5"/>
      <c r="O889" s="5"/>
      <c r="V889" s="5"/>
      <c r="X889" s="9"/>
    </row>
    <row r="890">
      <c r="H890" s="5"/>
      <c r="O890" s="5"/>
      <c r="V890" s="5"/>
      <c r="X890" s="9"/>
    </row>
    <row r="891">
      <c r="H891" s="5"/>
      <c r="O891" s="5"/>
      <c r="V891" s="5"/>
      <c r="X891" s="9"/>
    </row>
    <row r="892">
      <c r="H892" s="5"/>
      <c r="O892" s="5"/>
      <c r="V892" s="5"/>
      <c r="X892" s="9"/>
    </row>
    <row r="893">
      <c r="H893" s="5"/>
      <c r="O893" s="5"/>
      <c r="V893" s="5"/>
      <c r="X893" s="9"/>
    </row>
    <row r="894">
      <c r="H894" s="5"/>
      <c r="O894" s="5"/>
      <c r="V894" s="5"/>
      <c r="X894" s="9"/>
    </row>
    <row r="895">
      <c r="H895" s="5"/>
      <c r="O895" s="5"/>
      <c r="V895" s="5"/>
      <c r="X895" s="9"/>
    </row>
    <row r="896">
      <c r="H896" s="5"/>
      <c r="O896" s="5"/>
      <c r="V896" s="5"/>
      <c r="X896" s="9"/>
    </row>
    <row r="897">
      <c r="H897" s="5"/>
      <c r="O897" s="5"/>
      <c r="V897" s="5"/>
      <c r="X897" s="9"/>
    </row>
    <row r="898">
      <c r="H898" s="5"/>
      <c r="O898" s="5"/>
      <c r="V898" s="5"/>
      <c r="X898" s="9"/>
    </row>
    <row r="899">
      <c r="H899" s="5"/>
      <c r="O899" s="5"/>
      <c r="V899" s="5"/>
      <c r="X899" s="9"/>
    </row>
    <row r="900">
      <c r="H900" s="5"/>
      <c r="O900" s="5"/>
      <c r="V900" s="5"/>
      <c r="X900" s="9"/>
    </row>
    <row r="901">
      <c r="H901" s="5"/>
      <c r="O901" s="5"/>
      <c r="V901" s="5"/>
      <c r="X901" s="9"/>
    </row>
    <row r="902">
      <c r="H902" s="5"/>
      <c r="O902" s="5"/>
      <c r="V902" s="5"/>
      <c r="X902" s="9"/>
    </row>
    <row r="903">
      <c r="H903" s="5"/>
      <c r="O903" s="5"/>
      <c r="V903" s="5"/>
      <c r="X903" s="9"/>
    </row>
    <row r="904">
      <c r="H904" s="5"/>
      <c r="O904" s="5"/>
      <c r="V904" s="5"/>
      <c r="X904" s="9"/>
    </row>
    <row r="905">
      <c r="H905" s="5"/>
      <c r="O905" s="5"/>
      <c r="V905" s="5"/>
      <c r="X905" s="9"/>
    </row>
    <row r="906">
      <c r="H906" s="5"/>
      <c r="O906" s="5"/>
      <c r="V906" s="5"/>
      <c r="X906" s="9"/>
    </row>
    <row r="907">
      <c r="H907" s="5"/>
      <c r="O907" s="5"/>
      <c r="V907" s="5"/>
      <c r="X907" s="9"/>
    </row>
    <row r="908">
      <c r="H908" s="5"/>
      <c r="O908" s="5"/>
      <c r="V908" s="5"/>
      <c r="X908" s="9"/>
    </row>
    <row r="909">
      <c r="H909" s="5"/>
      <c r="O909" s="5"/>
      <c r="V909" s="5"/>
      <c r="X909" s="9"/>
    </row>
    <row r="910">
      <c r="H910" s="5"/>
      <c r="O910" s="5"/>
      <c r="V910" s="5"/>
      <c r="X910" s="9"/>
    </row>
    <row r="911">
      <c r="H911" s="5"/>
      <c r="O911" s="5"/>
      <c r="V911" s="5"/>
      <c r="X911" s="9"/>
    </row>
    <row r="912">
      <c r="H912" s="5"/>
      <c r="O912" s="5"/>
      <c r="V912" s="5"/>
      <c r="X912" s="9"/>
    </row>
    <row r="913">
      <c r="H913" s="5"/>
      <c r="O913" s="5"/>
      <c r="V913" s="5"/>
      <c r="X913" s="9"/>
    </row>
    <row r="914">
      <c r="H914" s="5"/>
      <c r="O914" s="5"/>
      <c r="V914" s="5"/>
      <c r="X914" s="9"/>
    </row>
    <row r="915">
      <c r="H915" s="5"/>
      <c r="O915" s="5"/>
      <c r="V915" s="5"/>
      <c r="X915" s="9"/>
    </row>
    <row r="916">
      <c r="H916" s="5"/>
      <c r="O916" s="5"/>
      <c r="V916" s="5"/>
      <c r="X916" s="9"/>
    </row>
    <row r="917">
      <c r="H917" s="5"/>
      <c r="O917" s="5"/>
      <c r="V917" s="5"/>
      <c r="X917" s="9"/>
    </row>
    <row r="918">
      <c r="H918" s="5"/>
      <c r="O918" s="5"/>
      <c r="V918" s="5"/>
      <c r="X918" s="9"/>
    </row>
    <row r="919">
      <c r="H919" s="5"/>
      <c r="O919" s="5"/>
      <c r="V919" s="5"/>
      <c r="X919" s="9"/>
    </row>
    <row r="920">
      <c r="H920" s="5"/>
      <c r="O920" s="5"/>
      <c r="V920" s="5"/>
      <c r="X920" s="9"/>
    </row>
    <row r="921">
      <c r="H921" s="5"/>
      <c r="O921" s="5"/>
      <c r="V921" s="5"/>
      <c r="X921" s="9"/>
    </row>
    <row r="922">
      <c r="H922" s="5"/>
      <c r="O922" s="5"/>
      <c r="V922" s="5"/>
      <c r="X922" s="9"/>
    </row>
    <row r="923">
      <c r="H923" s="5"/>
      <c r="O923" s="5"/>
      <c r="V923" s="5"/>
      <c r="X923" s="9"/>
    </row>
    <row r="924">
      <c r="H924" s="5"/>
      <c r="O924" s="5"/>
      <c r="V924" s="5"/>
      <c r="X924" s="9"/>
    </row>
    <row r="925">
      <c r="H925" s="5"/>
      <c r="O925" s="5"/>
      <c r="V925" s="5"/>
      <c r="X925" s="9"/>
    </row>
    <row r="926">
      <c r="H926" s="5"/>
      <c r="O926" s="5"/>
      <c r="V926" s="5"/>
      <c r="X926" s="9"/>
    </row>
    <row r="927">
      <c r="H927" s="5"/>
      <c r="O927" s="5"/>
      <c r="V927" s="5"/>
      <c r="X927" s="9"/>
    </row>
    <row r="928">
      <c r="H928" s="5"/>
      <c r="O928" s="5"/>
      <c r="V928" s="5"/>
      <c r="X928" s="9"/>
    </row>
    <row r="929">
      <c r="H929" s="5"/>
      <c r="O929" s="5"/>
      <c r="V929" s="5"/>
      <c r="X929" s="9"/>
    </row>
    <row r="930">
      <c r="H930" s="5"/>
      <c r="O930" s="5"/>
      <c r="V930" s="5"/>
      <c r="X930" s="9"/>
    </row>
    <row r="931">
      <c r="H931" s="5"/>
      <c r="O931" s="5"/>
      <c r="V931" s="5"/>
      <c r="X931" s="9"/>
    </row>
    <row r="932">
      <c r="H932" s="5"/>
      <c r="O932" s="5"/>
      <c r="V932" s="5"/>
      <c r="X932" s="9"/>
    </row>
    <row r="933">
      <c r="H933" s="5"/>
      <c r="O933" s="5"/>
      <c r="V933" s="5"/>
      <c r="X933" s="9"/>
    </row>
    <row r="934">
      <c r="H934" s="5"/>
      <c r="O934" s="5"/>
      <c r="V934" s="5"/>
      <c r="X934" s="9"/>
    </row>
    <row r="935">
      <c r="H935" s="5"/>
      <c r="O935" s="5"/>
      <c r="V935" s="5"/>
      <c r="X935" s="9"/>
    </row>
    <row r="936">
      <c r="H936" s="5"/>
      <c r="O936" s="5"/>
      <c r="V936" s="5"/>
      <c r="X936" s="9"/>
    </row>
    <row r="937">
      <c r="H937" s="5"/>
      <c r="O937" s="5"/>
      <c r="V937" s="5"/>
      <c r="X937" s="9"/>
    </row>
    <row r="938">
      <c r="H938" s="5"/>
      <c r="O938" s="5"/>
      <c r="V938" s="5"/>
      <c r="X938" s="9"/>
    </row>
    <row r="939">
      <c r="H939" s="5"/>
      <c r="O939" s="5"/>
      <c r="V939" s="5"/>
      <c r="X939" s="9"/>
    </row>
    <row r="940">
      <c r="H940" s="5"/>
      <c r="O940" s="5"/>
      <c r="V940" s="5"/>
      <c r="X940" s="9"/>
    </row>
    <row r="941">
      <c r="H941" s="5"/>
      <c r="O941" s="5"/>
      <c r="V941" s="5"/>
      <c r="X941" s="9"/>
    </row>
    <row r="942">
      <c r="H942" s="5"/>
      <c r="O942" s="5"/>
      <c r="V942" s="5"/>
      <c r="X942" s="9"/>
    </row>
    <row r="943">
      <c r="H943" s="5"/>
      <c r="O943" s="5"/>
      <c r="V943" s="5"/>
      <c r="X943" s="9"/>
    </row>
    <row r="944">
      <c r="H944" s="5"/>
      <c r="O944" s="5"/>
      <c r="V944" s="5"/>
      <c r="X944" s="9"/>
    </row>
    <row r="945">
      <c r="H945" s="5"/>
      <c r="O945" s="5"/>
      <c r="V945" s="5"/>
      <c r="X945" s="9"/>
    </row>
    <row r="946">
      <c r="H946" s="5"/>
      <c r="O946" s="5"/>
      <c r="V946" s="5"/>
      <c r="X946" s="9"/>
    </row>
    <row r="947">
      <c r="H947" s="5"/>
      <c r="O947" s="5"/>
      <c r="V947" s="5"/>
      <c r="X947" s="9"/>
    </row>
    <row r="948">
      <c r="H948" s="5"/>
      <c r="O948" s="5"/>
      <c r="V948" s="5"/>
      <c r="X948" s="9"/>
    </row>
    <row r="949">
      <c r="H949" s="5"/>
      <c r="O949" s="5"/>
      <c r="V949" s="5"/>
      <c r="X949" s="9"/>
    </row>
    <row r="950">
      <c r="H950" s="5"/>
      <c r="O950" s="5"/>
      <c r="V950" s="5"/>
      <c r="X950" s="9"/>
    </row>
    <row r="951">
      <c r="H951" s="5"/>
      <c r="O951" s="5"/>
      <c r="V951" s="5"/>
      <c r="X951" s="9"/>
    </row>
    <row r="952">
      <c r="H952" s="5"/>
      <c r="O952" s="5"/>
      <c r="V952" s="5"/>
      <c r="X952" s="9"/>
    </row>
    <row r="953">
      <c r="H953" s="5"/>
      <c r="O953" s="5"/>
      <c r="V953" s="5"/>
      <c r="X953" s="9"/>
    </row>
    <row r="954">
      <c r="H954" s="5"/>
      <c r="O954" s="5"/>
      <c r="V954" s="5"/>
      <c r="X954" s="9"/>
    </row>
    <row r="955">
      <c r="H955" s="5"/>
      <c r="O955" s="5"/>
      <c r="V955" s="5"/>
      <c r="X955" s="9"/>
    </row>
    <row r="956">
      <c r="H956" s="5"/>
      <c r="O956" s="5"/>
      <c r="V956" s="5"/>
      <c r="X956" s="9"/>
    </row>
    <row r="957">
      <c r="H957" s="5"/>
      <c r="O957" s="5"/>
      <c r="V957" s="5"/>
      <c r="X957" s="9"/>
    </row>
    <row r="958">
      <c r="H958" s="5"/>
      <c r="O958" s="5"/>
      <c r="V958" s="5"/>
      <c r="X958" s="9"/>
    </row>
    <row r="959">
      <c r="H959" s="5"/>
      <c r="O959" s="5"/>
      <c r="V959" s="5"/>
      <c r="X959" s="9"/>
    </row>
    <row r="960">
      <c r="H960" s="5"/>
      <c r="O960" s="5"/>
      <c r="V960" s="5"/>
      <c r="X960" s="9"/>
    </row>
    <row r="961">
      <c r="H961" s="5"/>
      <c r="O961" s="5"/>
      <c r="V961" s="5"/>
      <c r="X961" s="9"/>
    </row>
    <row r="962">
      <c r="H962" s="5"/>
      <c r="O962" s="5"/>
      <c r="V962" s="5"/>
      <c r="X962" s="9"/>
    </row>
    <row r="963">
      <c r="H963" s="5"/>
      <c r="O963" s="5"/>
      <c r="V963" s="5"/>
      <c r="X963" s="9"/>
    </row>
    <row r="964">
      <c r="H964" s="5"/>
      <c r="O964" s="5"/>
      <c r="V964" s="5"/>
      <c r="X964" s="9"/>
    </row>
    <row r="965">
      <c r="H965" s="5"/>
      <c r="O965" s="5"/>
      <c r="V965" s="5"/>
      <c r="X965" s="9"/>
    </row>
    <row r="966">
      <c r="H966" s="5"/>
      <c r="O966" s="5"/>
      <c r="V966" s="5"/>
      <c r="X966" s="9"/>
    </row>
    <row r="967">
      <c r="H967" s="5"/>
      <c r="O967" s="5"/>
      <c r="V967" s="5"/>
      <c r="X967" s="9"/>
    </row>
    <row r="968">
      <c r="H968" s="5"/>
      <c r="O968" s="5"/>
      <c r="V968" s="5"/>
      <c r="X968" s="9"/>
    </row>
    <row r="969">
      <c r="H969" s="5"/>
      <c r="O969" s="5"/>
      <c r="V969" s="5"/>
      <c r="X969" s="9"/>
    </row>
    <row r="970">
      <c r="H970" s="5"/>
      <c r="O970" s="5"/>
      <c r="V970" s="5"/>
      <c r="X970" s="9"/>
    </row>
    <row r="971">
      <c r="H971" s="5"/>
      <c r="O971" s="5"/>
      <c r="V971" s="5"/>
      <c r="X971" s="9"/>
    </row>
    <row r="972">
      <c r="H972" s="5"/>
      <c r="O972" s="5"/>
      <c r="V972" s="5"/>
      <c r="X972" s="9"/>
    </row>
    <row r="973">
      <c r="H973" s="5"/>
      <c r="O973" s="5"/>
      <c r="V973" s="5"/>
      <c r="X973" s="9"/>
    </row>
    <row r="974">
      <c r="H974" s="5"/>
      <c r="O974" s="5"/>
      <c r="V974" s="5"/>
      <c r="X974" s="9"/>
    </row>
    <row r="975">
      <c r="H975" s="5"/>
      <c r="O975" s="5"/>
      <c r="V975" s="5"/>
      <c r="X975" s="9"/>
    </row>
    <row r="976">
      <c r="H976" s="5"/>
      <c r="O976" s="5"/>
      <c r="V976" s="5"/>
      <c r="X976" s="9"/>
    </row>
    <row r="977">
      <c r="H977" s="5"/>
      <c r="O977" s="5"/>
      <c r="V977" s="5"/>
      <c r="X977" s="9"/>
    </row>
    <row r="978">
      <c r="H978" s="5"/>
      <c r="O978" s="5"/>
      <c r="V978" s="5"/>
      <c r="X978" s="9"/>
    </row>
    <row r="979">
      <c r="H979" s="5"/>
      <c r="O979" s="5"/>
      <c r="V979" s="5"/>
      <c r="X979" s="9"/>
    </row>
    <row r="980">
      <c r="H980" s="5"/>
      <c r="O980" s="5"/>
      <c r="V980" s="5"/>
      <c r="X980" s="9"/>
    </row>
    <row r="981">
      <c r="H981" s="5"/>
      <c r="O981" s="5"/>
      <c r="V981" s="5"/>
      <c r="X981" s="9"/>
    </row>
    <row r="982">
      <c r="H982" s="5"/>
      <c r="O982" s="5"/>
      <c r="V982" s="5"/>
      <c r="X982" s="9"/>
    </row>
    <row r="983">
      <c r="H983" s="5"/>
      <c r="O983" s="5"/>
      <c r="V983" s="5"/>
      <c r="X983" s="9"/>
    </row>
    <row r="984">
      <c r="H984" s="5"/>
      <c r="O984" s="5"/>
      <c r="V984" s="5"/>
      <c r="X984" s="9"/>
    </row>
    <row r="985">
      <c r="H985" s="5"/>
      <c r="O985" s="5"/>
      <c r="V985" s="5"/>
      <c r="X985" s="9"/>
    </row>
    <row r="986">
      <c r="H986" s="5"/>
      <c r="O986" s="5"/>
      <c r="V986" s="5"/>
      <c r="X986" s="9"/>
    </row>
    <row r="987">
      <c r="H987" s="5"/>
      <c r="O987" s="5"/>
      <c r="V987" s="5"/>
      <c r="X987" s="9"/>
    </row>
    <row r="988">
      <c r="H988" s="5"/>
      <c r="O988" s="5"/>
      <c r="V988" s="5"/>
      <c r="X988" s="9"/>
    </row>
    <row r="989">
      <c r="H989" s="5"/>
      <c r="O989" s="5"/>
      <c r="V989" s="5"/>
      <c r="X989" s="9"/>
    </row>
    <row r="990">
      <c r="H990" s="5"/>
      <c r="O990" s="5"/>
      <c r="V990" s="5"/>
      <c r="X990" s="9"/>
    </row>
    <row r="991">
      <c r="H991" s="5"/>
      <c r="O991" s="5"/>
      <c r="V991" s="5"/>
      <c r="X991" s="9"/>
    </row>
    <row r="992">
      <c r="H992" s="5"/>
      <c r="O992" s="5"/>
      <c r="V992" s="5"/>
      <c r="X992" s="9"/>
    </row>
    <row r="993">
      <c r="H993" s="5"/>
      <c r="O993" s="5"/>
      <c r="V993" s="5"/>
      <c r="X993" s="9"/>
    </row>
    <row r="994">
      <c r="H994" s="5"/>
      <c r="O994" s="5"/>
      <c r="V994" s="5"/>
      <c r="X994" s="9"/>
    </row>
    <row r="995">
      <c r="H995" s="5"/>
      <c r="O995" s="5"/>
      <c r="V995" s="5"/>
      <c r="X995" s="9"/>
    </row>
    <row r="996">
      <c r="H996" s="5"/>
      <c r="O996" s="5"/>
      <c r="V996" s="5"/>
      <c r="X996" s="9"/>
    </row>
    <row r="997">
      <c r="H997" s="5"/>
      <c r="O997" s="5"/>
      <c r="V997" s="5"/>
      <c r="X997" s="9"/>
    </row>
    <row r="998">
      <c r="H998" s="5"/>
      <c r="O998" s="5"/>
      <c r="V998" s="5"/>
      <c r="X998" s="9"/>
    </row>
    <row r="999">
      <c r="H999" s="5"/>
      <c r="O999" s="5"/>
      <c r="V999" s="5"/>
      <c r="X999" s="9"/>
    </row>
    <row r="1000">
      <c r="H1000" s="5"/>
      <c r="O1000" s="5"/>
      <c r="V1000" s="5"/>
      <c r="X1000" s="9"/>
    </row>
  </sheetData>
  <mergeCells count="2">
    <mergeCell ref="A2:V3"/>
    <mergeCell ref="Z2:AD3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5.75"/>
    <col customWidth="1" min="24" max="24" width="37.63"/>
  </cols>
  <sheetData>
    <row r="1">
      <c r="H1" s="5"/>
      <c r="O1" s="5"/>
      <c r="V1" s="5"/>
      <c r="X1" s="25"/>
      <c r="Y1" s="26"/>
      <c r="Z1" s="26"/>
      <c r="AA1" s="26"/>
      <c r="AB1" s="26"/>
      <c r="AC1" s="26"/>
      <c r="AD1" s="26"/>
    </row>
    <row r="2">
      <c r="A2" s="27" t="s">
        <v>98</v>
      </c>
      <c r="X2" s="28"/>
      <c r="Y2" s="26"/>
      <c r="Z2" s="27" t="s">
        <v>93</v>
      </c>
    </row>
    <row r="3">
      <c r="X3" s="29"/>
      <c r="Y3" s="26"/>
    </row>
    <row r="4">
      <c r="H4" s="5"/>
      <c r="O4" s="5"/>
      <c r="V4" s="5"/>
      <c r="X4" s="28"/>
      <c r="Y4" s="26"/>
      <c r="Z4" s="26"/>
      <c r="AA4" s="26"/>
      <c r="AB4" s="26"/>
      <c r="AC4" s="26"/>
      <c r="AD4" s="26"/>
    </row>
    <row r="5">
      <c r="A5" s="20" t="str">
        <f>Teams!B12</f>
        <v>Team 5</v>
      </c>
      <c r="C5" s="21" t="str">
        <f>"M1: " &amp; Teams!B13</f>
        <v>M1: Team 6</v>
      </c>
      <c r="D5" s="3" t="s">
        <v>18</v>
      </c>
      <c r="E5" s="3" t="s">
        <v>24</v>
      </c>
      <c r="F5" s="3" t="s">
        <v>21</v>
      </c>
      <c r="G5" s="3" t="s">
        <v>94</v>
      </c>
      <c r="H5" s="3" t="s">
        <v>95</v>
      </c>
      <c r="J5" s="21" t="str">
        <f>"M2: " &amp; Teams!B14</f>
        <v>M2: Team 7</v>
      </c>
      <c r="K5" s="3" t="s">
        <v>18</v>
      </c>
      <c r="L5" s="3" t="s">
        <v>24</v>
      </c>
      <c r="M5" s="3" t="s">
        <v>21</v>
      </c>
      <c r="N5" s="3" t="s">
        <v>94</v>
      </c>
      <c r="O5" s="3" t="s">
        <v>95</v>
      </c>
      <c r="Q5" s="21" t="str">
        <f>"M3: " &amp; Teams!B15</f>
        <v>M3: Team 8</v>
      </c>
      <c r="R5" s="3" t="s">
        <v>18</v>
      </c>
      <c r="S5" s="3" t="s">
        <v>24</v>
      </c>
      <c r="T5" s="3" t="s">
        <v>21</v>
      </c>
      <c r="U5" s="3" t="s">
        <v>94</v>
      </c>
      <c r="V5" s="3" t="s">
        <v>95</v>
      </c>
      <c r="X5" s="29"/>
      <c r="Y5" s="26"/>
      <c r="Z5" s="26"/>
      <c r="AA5" s="30" t="s">
        <v>96</v>
      </c>
      <c r="AB5" s="30" t="s">
        <v>97</v>
      </c>
      <c r="AC5" s="26"/>
      <c r="AD5" s="26"/>
    </row>
    <row r="6">
      <c r="C6" s="3" t="str">
        <f>Teams!C12</f>
        <v>T5P1</v>
      </c>
      <c r="D6" s="3"/>
      <c r="E6" s="5"/>
      <c r="F6" s="5"/>
      <c r="G6" s="5"/>
      <c r="H6" s="5">
        <f t="shared" ref="H6:H9" si="1">SUM(D6:G6)</f>
        <v>0</v>
      </c>
      <c r="J6" s="3" t="str">
        <f>Teams!C12</f>
        <v>T5P1</v>
      </c>
      <c r="K6" s="3"/>
      <c r="L6" s="5"/>
      <c r="M6" s="5"/>
      <c r="N6" s="5"/>
      <c r="O6" s="5">
        <f t="shared" ref="O6:O9" si="2">SUM(K6:N6)</f>
        <v>0</v>
      </c>
      <c r="Q6" s="3" t="str">
        <f>Teams!C12</f>
        <v>T5P1</v>
      </c>
      <c r="R6" s="3"/>
      <c r="S6" s="5"/>
      <c r="T6" s="5"/>
      <c r="U6" s="5"/>
      <c r="V6" s="5">
        <f t="shared" ref="V6:V9" si="3">SUM(R6:U6)</f>
        <v>0</v>
      </c>
      <c r="X6" s="28"/>
      <c r="Y6" s="26"/>
      <c r="Z6" s="22" t="str">
        <f>Teams!B12</f>
        <v>Team 5</v>
      </c>
      <c r="AA6" s="23" t="str">
        <f>Teams!C12</f>
        <v>T5P1</v>
      </c>
      <c r="AB6" s="23">
        <f t="shared" ref="AB6:AB9" si="4">SUM(H6,O6,V6)</f>
        <v>0</v>
      </c>
      <c r="AC6" s="26"/>
      <c r="AD6" s="26"/>
    </row>
    <row r="7">
      <c r="C7" s="3" t="str">
        <f>Teams!D12</f>
        <v>T5P2</v>
      </c>
      <c r="D7" s="5"/>
      <c r="E7" s="5"/>
      <c r="F7" s="5"/>
      <c r="G7" s="5"/>
      <c r="H7" s="5">
        <f t="shared" si="1"/>
        <v>0</v>
      </c>
      <c r="J7" s="3" t="str">
        <f>Teams!D12</f>
        <v>T5P2</v>
      </c>
      <c r="K7" s="5"/>
      <c r="L7" s="5"/>
      <c r="M7" s="5"/>
      <c r="N7" s="5"/>
      <c r="O7" s="5">
        <f t="shared" si="2"/>
        <v>0</v>
      </c>
      <c r="Q7" s="3" t="str">
        <f>Teams!D12</f>
        <v>T5P2</v>
      </c>
      <c r="R7" s="5"/>
      <c r="S7" s="5"/>
      <c r="T7" s="5"/>
      <c r="U7" s="5"/>
      <c r="V7" s="5">
        <f t="shared" si="3"/>
        <v>0</v>
      </c>
      <c r="X7" s="29"/>
      <c r="Y7" s="26"/>
      <c r="Z7" s="22">
        <f>SUM(AB6:AB9)</f>
        <v>0</v>
      </c>
      <c r="AA7" s="23" t="str">
        <f>Teams!D12</f>
        <v>T5P2</v>
      </c>
      <c r="AB7" s="23">
        <f t="shared" si="4"/>
        <v>0</v>
      </c>
      <c r="AC7" s="26"/>
      <c r="AD7" s="26"/>
    </row>
    <row r="8">
      <c r="C8" s="3" t="str">
        <f>Teams!E12</f>
        <v>T5P3</v>
      </c>
      <c r="D8" s="5"/>
      <c r="E8" s="5"/>
      <c r="F8" s="5"/>
      <c r="G8" s="5"/>
      <c r="H8" s="5">
        <f t="shared" si="1"/>
        <v>0</v>
      </c>
      <c r="J8" s="3" t="str">
        <f>Teams!E12</f>
        <v>T5P3</v>
      </c>
      <c r="K8" s="5"/>
      <c r="L8" s="5"/>
      <c r="M8" s="5"/>
      <c r="N8" s="5"/>
      <c r="O8" s="5">
        <f t="shared" si="2"/>
        <v>0</v>
      </c>
      <c r="Q8" s="3" t="str">
        <f>Teams!E12</f>
        <v>T5P3</v>
      </c>
      <c r="R8" s="5"/>
      <c r="S8" s="5"/>
      <c r="T8" s="5"/>
      <c r="U8" s="5"/>
      <c r="V8" s="5">
        <f t="shared" si="3"/>
        <v>0</v>
      </c>
      <c r="X8" s="28"/>
      <c r="Y8" s="26"/>
      <c r="Z8" s="26"/>
      <c r="AA8" s="23" t="str">
        <f>Teams!E12</f>
        <v>T5P3</v>
      </c>
      <c r="AB8" s="23">
        <f t="shared" si="4"/>
        <v>0</v>
      </c>
      <c r="AC8" s="26"/>
      <c r="AD8" s="26"/>
    </row>
    <row r="9">
      <c r="C9" s="3" t="str">
        <f>Teams!F12</f>
        <v>T5P4</v>
      </c>
      <c r="D9" s="5"/>
      <c r="E9" s="5"/>
      <c r="F9" s="5"/>
      <c r="G9" s="5"/>
      <c r="H9" s="5">
        <f t="shared" si="1"/>
        <v>0</v>
      </c>
      <c r="J9" s="3" t="str">
        <f>Teams!F12</f>
        <v>T5P4</v>
      </c>
      <c r="K9" s="5"/>
      <c r="L9" s="5"/>
      <c r="M9" s="5"/>
      <c r="N9" s="5"/>
      <c r="O9" s="5">
        <f t="shared" si="2"/>
        <v>0</v>
      </c>
      <c r="Q9" s="3" t="str">
        <f>Teams!F12</f>
        <v>T5P4</v>
      </c>
      <c r="R9" s="5"/>
      <c r="S9" s="5"/>
      <c r="T9" s="5"/>
      <c r="U9" s="5"/>
      <c r="V9" s="5">
        <f t="shared" si="3"/>
        <v>0</v>
      </c>
      <c r="X9" s="29"/>
      <c r="Y9" s="26"/>
      <c r="Z9" s="26"/>
      <c r="AA9" s="23" t="str">
        <f>Teams!F12</f>
        <v>T5P4</v>
      </c>
      <c r="AB9" s="23">
        <f t="shared" si="4"/>
        <v>0</v>
      </c>
      <c r="AC9" s="26"/>
      <c r="AD9" s="26"/>
    </row>
    <row r="10">
      <c r="H10" s="5"/>
      <c r="O10" s="5"/>
      <c r="V10" s="5"/>
      <c r="X10" s="28"/>
      <c r="Y10" s="26"/>
      <c r="Z10" s="26"/>
      <c r="AA10" s="26"/>
      <c r="AB10" s="26"/>
      <c r="AC10" s="26"/>
      <c r="AD10" s="26"/>
    </row>
    <row r="11">
      <c r="A11" s="20" t="str">
        <f>Teams!B13</f>
        <v>Team 6</v>
      </c>
      <c r="C11" s="21" t="str">
        <f>"M1: " &amp; Teams!B12</f>
        <v>M1: Team 5</v>
      </c>
      <c r="D11" s="3" t="s">
        <v>18</v>
      </c>
      <c r="E11" s="3" t="s">
        <v>24</v>
      </c>
      <c r="F11" s="3" t="s">
        <v>21</v>
      </c>
      <c r="G11" s="3" t="s">
        <v>94</v>
      </c>
      <c r="H11" s="3" t="s">
        <v>95</v>
      </c>
      <c r="J11" s="21" t="str">
        <f>"M2: " &amp; Teams!B15</f>
        <v>M2: Team 8</v>
      </c>
      <c r="K11" s="3" t="s">
        <v>18</v>
      </c>
      <c r="L11" s="3" t="s">
        <v>24</v>
      </c>
      <c r="M11" s="3" t="s">
        <v>21</v>
      </c>
      <c r="N11" s="3" t="s">
        <v>94</v>
      </c>
      <c r="O11" s="3" t="s">
        <v>95</v>
      </c>
      <c r="Q11" s="21" t="str">
        <f>"M3: " &amp; Teams!B14</f>
        <v>M3: Team 7</v>
      </c>
      <c r="R11" s="3" t="s">
        <v>18</v>
      </c>
      <c r="S11" s="3" t="s">
        <v>24</v>
      </c>
      <c r="T11" s="3" t="s">
        <v>21</v>
      </c>
      <c r="U11" s="3" t="s">
        <v>94</v>
      </c>
      <c r="V11" s="3" t="s">
        <v>95</v>
      </c>
      <c r="X11" s="29"/>
      <c r="Y11" s="26"/>
      <c r="Z11" s="22" t="str">
        <f>Teams!B13</f>
        <v>Team 6</v>
      </c>
      <c r="AA11" s="23" t="str">
        <f>Teams!C13</f>
        <v>T6P1</v>
      </c>
      <c r="AB11" s="23">
        <f t="shared" ref="AB11:AB14" si="5">SUM(H12,O12,V12)</f>
        <v>0</v>
      </c>
      <c r="AC11" s="26"/>
      <c r="AD11" s="26"/>
    </row>
    <row r="12">
      <c r="C12" s="3" t="str">
        <f>Teams!C13</f>
        <v>T6P1</v>
      </c>
      <c r="D12" s="3"/>
      <c r="E12" s="5"/>
      <c r="F12" s="5"/>
      <c r="G12" s="5"/>
      <c r="H12" s="5">
        <f t="shared" ref="H12:H15" si="6">SUM(D12:G12)</f>
        <v>0</v>
      </c>
      <c r="J12" s="3" t="str">
        <f>Teams!C13</f>
        <v>T6P1</v>
      </c>
      <c r="K12" s="3"/>
      <c r="L12" s="5"/>
      <c r="M12" s="5"/>
      <c r="N12" s="5"/>
      <c r="O12" s="5">
        <f t="shared" ref="O12:O15" si="7">SUM(K12:N12)</f>
        <v>0</v>
      </c>
      <c r="Q12" s="3" t="str">
        <f>Teams!C13</f>
        <v>T6P1</v>
      </c>
      <c r="R12" s="3"/>
      <c r="S12" s="5"/>
      <c r="T12" s="5"/>
      <c r="U12" s="5"/>
      <c r="V12" s="5">
        <f t="shared" ref="V12:V15" si="8">SUM(R12:U12)</f>
        <v>0</v>
      </c>
      <c r="X12" s="28"/>
      <c r="Y12" s="26"/>
      <c r="Z12" s="22">
        <f>SUM(AB11:AB14)</f>
        <v>0</v>
      </c>
      <c r="AA12" s="23" t="str">
        <f>Teams!D13</f>
        <v>T6P2</v>
      </c>
      <c r="AB12" s="23">
        <f t="shared" si="5"/>
        <v>0</v>
      </c>
      <c r="AC12" s="26"/>
      <c r="AD12" s="26"/>
    </row>
    <row r="13">
      <c r="C13" s="3" t="str">
        <f>Teams!D13</f>
        <v>T6P2</v>
      </c>
      <c r="D13" s="5"/>
      <c r="E13" s="5"/>
      <c r="F13" s="5"/>
      <c r="G13" s="5"/>
      <c r="H13" s="5">
        <f t="shared" si="6"/>
        <v>0</v>
      </c>
      <c r="J13" s="3" t="str">
        <f>Teams!D13</f>
        <v>T6P2</v>
      </c>
      <c r="K13" s="5"/>
      <c r="L13" s="5"/>
      <c r="M13" s="5"/>
      <c r="N13" s="5"/>
      <c r="O13" s="5">
        <f t="shared" si="7"/>
        <v>0</v>
      </c>
      <c r="Q13" s="3" t="str">
        <f>Teams!D13</f>
        <v>T6P2</v>
      </c>
      <c r="R13" s="5"/>
      <c r="S13" s="5"/>
      <c r="T13" s="5"/>
      <c r="U13" s="5"/>
      <c r="V13" s="5">
        <f t="shared" si="8"/>
        <v>0</v>
      </c>
      <c r="X13" s="29"/>
      <c r="Y13" s="26"/>
      <c r="Z13" s="26"/>
      <c r="AA13" s="23" t="str">
        <f>Teams!E13</f>
        <v>T6P3</v>
      </c>
      <c r="AB13" s="23">
        <f t="shared" si="5"/>
        <v>0</v>
      </c>
      <c r="AC13" s="26"/>
      <c r="AD13" s="26"/>
    </row>
    <row r="14">
      <c r="C14" s="3" t="str">
        <f>Teams!E13</f>
        <v>T6P3</v>
      </c>
      <c r="D14" s="5"/>
      <c r="E14" s="5"/>
      <c r="F14" s="5"/>
      <c r="G14" s="5"/>
      <c r="H14" s="5">
        <f t="shared" si="6"/>
        <v>0</v>
      </c>
      <c r="J14" s="3" t="str">
        <f>Teams!E13</f>
        <v>T6P3</v>
      </c>
      <c r="K14" s="5"/>
      <c r="L14" s="5"/>
      <c r="M14" s="5"/>
      <c r="N14" s="5"/>
      <c r="O14" s="5">
        <f t="shared" si="7"/>
        <v>0</v>
      </c>
      <c r="Q14" s="3" t="str">
        <f>Teams!E13</f>
        <v>T6P3</v>
      </c>
      <c r="R14" s="5"/>
      <c r="S14" s="5"/>
      <c r="T14" s="5"/>
      <c r="U14" s="5"/>
      <c r="V14" s="5">
        <f t="shared" si="8"/>
        <v>0</v>
      </c>
      <c r="X14" s="28"/>
      <c r="Y14" s="26"/>
      <c r="Z14" s="26"/>
      <c r="AA14" s="23" t="str">
        <f>Teams!F13</f>
        <v>T6P4</v>
      </c>
      <c r="AB14" s="23">
        <f t="shared" si="5"/>
        <v>0</v>
      </c>
      <c r="AC14" s="26"/>
      <c r="AD14" s="26"/>
    </row>
    <row r="15">
      <c r="C15" s="3" t="str">
        <f>Teams!F13</f>
        <v>T6P4</v>
      </c>
      <c r="D15" s="5"/>
      <c r="E15" s="5"/>
      <c r="F15" s="5"/>
      <c r="G15" s="5"/>
      <c r="H15" s="5">
        <f t="shared" si="6"/>
        <v>0</v>
      </c>
      <c r="J15" s="3" t="str">
        <f>Teams!F13</f>
        <v>T6P4</v>
      </c>
      <c r="K15" s="5"/>
      <c r="L15" s="5"/>
      <c r="M15" s="5"/>
      <c r="N15" s="5"/>
      <c r="O15" s="5">
        <f t="shared" si="7"/>
        <v>0</v>
      </c>
      <c r="Q15" s="3" t="str">
        <f>Teams!F13</f>
        <v>T6P4</v>
      </c>
      <c r="R15" s="5"/>
      <c r="S15" s="5"/>
      <c r="T15" s="5"/>
      <c r="U15" s="5"/>
      <c r="V15" s="5">
        <f t="shared" si="8"/>
        <v>0</v>
      </c>
      <c r="X15" s="29"/>
      <c r="Y15" s="26"/>
      <c r="Z15" s="26"/>
      <c r="AA15" s="26"/>
      <c r="AB15" s="26"/>
      <c r="AC15" s="26"/>
      <c r="AD15" s="26"/>
    </row>
    <row r="16">
      <c r="H16" s="5"/>
      <c r="O16" s="5"/>
      <c r="V16" s="5"/>
      <c r="X16" s="28"/>
      <c r="Y16" s="26"/>
      <c r="Z16" s="22" t="str">
        <f>Teams!B14</f>
        <v>Team 7</v>
      </c>
      <c r="AA16" s="23" t="str">
        <f>Teams!C14</f>
        <v>T7P1</v>
      </c>
      <c r="AB16" s="23">
        <f t="shared" ref="AB16:AB19" si="9">SUM(H18,O18,V18)</f>
        <v>0</v>
      </c>
      <c r="AC16" s="26"/>
      <c r="AD16" s="26"/>
    </row>
    <row r="17">
      <c r="A17" s="20" t="str">
        <f>Teams!B14</f>
        <v>Team 7</v>
      </c>
      <c r="C17" s="21" t="str">
        <f>"M1: " &amp; Teams!B15</f>
        <v>M1: Team 8</v>
      </c>
      <c r="D17" s="3" t="s">
        <v>18</v>
      </c>
      <c r="E17" s="3" t="s">
        <v>24</v>
      </c>
      <c r="F17" s="3" t="s">
        <v>21</v>
      </c>
      <c r="G17" s="3" t="s">
        <v>94</v>
      </c>
      <c r="H17" s="3" t="s">
        <v>95</v>
      </c>
      <c r="J17" s="21" t="str">
        <f>"M2: " &amp; Teams!B12</f>
        <v>M2: Team 5</v>
      </c>
      <c r="K17" s="3" t="s">
        <v>18</v>
      </c>
      <c r="L17" s="3" t="s">
        <v>24</v>
      </c>
      <c r="M17" s="3" t="s">
        <v>21</v>
      </c>
      <c r="N17" s="3" t="s">
        <v>94</v>
      </c>
      <c r="O17" s="3" t="s">
        <v>95</v>
      </c>
      <c r="Q17" s="21" t="str">
        <f>"M3: " &amp; Teams!B13</f>
        <v>M3: Team 6</v>
      </c>
      <c r="R17" s="3" t="s">
        <v>18</v>
      </c>
      <c r="S17" s="3" t="s">
        <v>24</v>
      </c>
      <c r="T17" s="3" t="s">
        <v>21</v>
      </c>
      <c r="U17" s="3" t="s">
        <v>94</v>
      </c>
      <c r="V17" s="3" t="s">
        <v>95</v>
      </c>
      <c r="X17" s="29"/>
      <c r="Y17" s="26"/>
      <c r="Z17" s="31">
        <f>SUM(AB16:AB19)</f>
        <v>0</v>
      </c>
      <c r="AA17" s="23" t="str">
        <f>Teams!D14</f>
        <v>T7P2</v>
      </c>
      <c r="AB17" s="23">
        <f t="shared" si="9"/>
        <v>0</v>
      </c>
      <c r="AC17" s="26"/>
      <c r="AD17" s="26"/>
    </row>
    <row r="18">
      <c r="C18" s="3" t="str">
        <f>Teams!C14</f>
        <v>T7P1</v>
      </c>
      <c r="D18" s="3"/>
      <c r="E18" s="5"/>
      <c r="F18" s="5"/>
      <c r="G18" s="5"/>
      <c r="H18" s="5">
        <f t="shared" ref="H18:H21" si="10">SUM(D18:G18)</f>
        <v>0</v>
      </c>
      <c r="J18" s="3" t="str">
        <f>Teams!C14</f>
        <v>T7P1</v>
      </c>
      <c r="K18" s="3"/>
      <c r="L18" s="5"/>
      <c r="M18" s="5"/>
      <c r="N18" s="5"/>
      <c r="O18" s="5">
        <f t="shared" ref="O18:O21" si="11">SUM(K18:N18)</f>
        <v>0</v>
      </c>
      <c r="Q18" s="3" t="str">
        <f>Teams!C14</f>
        <v>T7P1</v>
      </c>
      <c r="R18" s="3"/>
      <c r="S18" s="5"/>
      <c r="T18" s="5"/>
      <c r="U18" s="5"/>
      <c r="V18" s="5">
        <f t="shared" ref="V18:V21" si="12">SUM(R18:U18)</f>
        <v>0</v>
      </c>
      <c r="X18" s="28"/>
      <c r="Y18" s="26"/>
      <c r="Z18" s="26"/>
      <c r="AA18" s="23" t="str">
        <f>Teams!E14</f>
        <v>T7P3</v>
      </c>
      <c r="AB18" s="23">
        <f t="shared" si="9"/>
        <v>0</v>
      </c>
      <c r="AC18" s="26"/>
      <c r="AD18" s="26"/>
    </row>
    <row r="19">
      <c r="C19" s="3" t="str">
        <f>Teams!D14</f>
        <v>T7P2</v>
      </c>
      <c r="D19" s="5"/>
      <c r="E19" s="5"/>
      <c r="F19" s="5"/>
      <c r="G19" s="5"/>
      <c r="H19" s="5">
        <f t="shared" si="10"/>
        <v>0</v>
      </c>
      <c r="J19" s="3" t="str">
        <f>Teams!D14</f>
        <v>T7P2</v>
      </c>
      <c r="K19" s="5"/>
      <c r="L19" s="5"/>
      <c r="M19" s="5"/>
      <c r="N19" s="5"/>
      <c r="O19" s="5">
        <f t="shared" si="11"/>
        <v>0</v>
      </c>
      <c r="Q19" s="3" t="str">
        <f>Teams!D14</f>
        <v>T7P2</v>
      </c>
      <c r="R19" s="5"/>
      <c r="S19" s="5"/>
      <c r="T19" s="5"/>
      <c r="U19" s="5"/>
      <c r="V19" s="5">
        <f t="shared" si="12"/>
        <v>0</v>
      </c>
      <c r="X19" s="29"/>
      <c r="Y19" s="26"/>
      <c r="Z19" s="26"/>
      <c r="AA19" s="23" t="str">
        <f>Teams!F14</f>
        <v>T7P4</v>
      </c>
      <c r="AB19" s="23">
        <f t="shared" si="9"/>
        <v>0</v>
      </c>
      <c r="AC19" s="26"/>
      <c r="AD19" s="26"/>
    </row>
    <row r="20">
      <c r="C20" s="3" t="str">
        <f>Teams!E14</f>
        <v>T7P3</v>
      </c>
      <c r="D20" s="5"/>
      <c r="E20" s="5"/>
      <c r="F20" s="5"/>
      <c r="G20" s="5"/>
      <c r="H20" s="5">
        <f t="shared" si="10"/>
        <v>0</v>
      </c>
      <c r="J20" s="3" t="str">
        <f>Teams!E14</f>
        <v>T7P3</v>
      </c>
      <c r="K20" s="5"/>
      <c r="L20" s="5"/>
      <c r="M20" s="5"/>
      <c r="N20" s="5"/>
      <c r="O20" s="5">
        <f t="shared" si="11"/>
        <v>0</v>
      </c>
      <c r="Q20" s="3" t="str">
        <f>Teams!E14</f>
        <v>T7P3</v>
      </c>
      <c r="R20" s="5"/>
      <c r="S20" s="5"/>
      <c r="T20" s="5"/>
      <c r="U20" s="5"/>
      <c r="V20" s="5">
        <f t="shared" si="12"/>
        <v>0</v>
      </c>
      <c r="X20" s="28"/>
      <c r="Y20" s="26"/>
      <c r="Z20" s="26"/>
      <c r="AA20" s="26"/>
      <c r="AB20" s="26"/>
      <c r="AC20" s="26"/>
      <c r="AD20" s="26"/>
    </row>
    <row r="21">
      <c r="C21" s="3" t="str">
        <f>Teams!F14</f>
        <v>T7P4</v>
      </c>
      <c r="D21" s="5"/>
      <c r="E21" s="5"/>
      <c r="F21" s="5"/>
      <c r="G21" s="5"/>
      <c r="H21" s="5">
        <f t="shared" si="10"/>
        <v>0</v>
      </c>
      <c r="J21" s="3" t="str">
        <f>Teams!F14</f>
        <v>T7P4</v>
      </c>
      <c r="K21" s="5"/>
      <c r="L21" s="5"/>
      <c r="M21" s="5"/>
      <c r="N21" s="5"/>
      <c r="O21" s="5">
        <f t="shared" si="11"/>
        <v>0</v>
      </c>
      <c r="Q21" s="3" t="str">
        <f>Teams!F14</f>
        <v>T7P4</v>
      </c>
      <c r="R21" s="5"/>
      <c r="S21" s="5"/>
      <c r="T21" s="5"/>
      <c r="U21" s="5"/>
      <c r="V21" s="5">
        <f t="shared" si="12"/>
        <v>0</v>
      </c>
      <c r="X21" s="29"/>
      <c r="Y21" s="26"/>
      <c r="Z21" s="22" t="str">
        <f>Teams!B15</f>
        <v>Team 8</v>
      </c>
      <c r="AA21" s="23" t="str">
        <f>Teams!C15</f>
        <v>T8P1</v>
      </c>
      <c r="AB21" s="23">
        <f t="shared" ref="AB21:AB24" si="13">SUM(H24,O24,V24)</f>
        <v>0</v>
      </c>
      <c r="AC21" s="26"/>
      <c r="AD21" s="26"/>
    </row>
    <row r="22">
      <c r="H22" s="5"/>
      <c r="O22" s="5"/>
      <c r="V22" s="5"/>
      <c r="X22" s="28"/>
      <c r="Y22" s="26"/>
      <c r="Z22" s="22">
        <f>SUM(AB21:AB24)</f>
        <v>0</v>
      </c>
      <c r="AA22" s="23" t="str">
        <f>Teams!D15</f>
        <v>T8P2</v>
      </c>
      <c r="AB22" s="23">
        <f t="shared" si="13"/>
        <v>0</v>
      </c>
      <c r="AC22" s="26"/>
      <c r="AD22" s="26"/>
    </row>
    <row r="23">
      <c r="A23" s="20" t="str">
        <f>Teams!B15</f>
        <v>Team 8</v>
      </c>
      <c r="C23" s="21" t="str">
        <f>"M1: " &amp; Teams!B14</f>
        <v>M1: Team 7</v>
      </c>
      <c r="D23" s="3" t="s">
        <v>18</v>
      </c>
      <c r="E23" s="3" t="s">
        <v>24</v>
      </c>
      <c r="F23" s="3" t="s">
        <v>21</v>
      </c>
      <c r="G23" s="3" t="s">
        <v>94</v>
      </c>
      <c r="H23" s="3" t="s">
        <v>95</v>
      </c>
      <c r="J23" s="21" t="str">
        <f>"M2: " &amp; Teams!B13</f>
        <v>M2: Team 6</v>
      </c>
      <c r="K23" s="3" t="s">
        <v>18</v>
      </c>
      <c r="L23" s="3" t="s">
        <v>24</v>
      </c>
      <c r="M23" s="3" t="s">
        <v>21</v>
      </c>
      <c r="N23" s="3" t="s">
        <v>94</v>
      </c>
      <c r="O23" s="3" t="s">
        <v>95</v>
      </c>
      <c r="Q23" s="21" t="str">
        <f>"M3: " &amp; Teams!B12</f>
        <v>M3: Team 5</v>
      </c>
      <c r="R23" s="3" t="s">
        <v>18</v>
      </c>
      <c r="S23" s="3" t="s">
        <v>24</v>
      </c>
      <c r="T23" s="3" t="s">
        <v>21</v>
      </c>
      <c r="U23" s="3" t="s">
        <v>94</v>
      </c>
      <c r="V23" s="3" t="s">
        <v>95</v>
      </c>
      <c r="X23" s="29"/>
      <c r="Y23" s="26"/>
      <c r="Z23" s="26"/>
      <c r="AA23" s="23" t="str">
        <f>Teams!E15</f>
        <v>T8P3</v>
      </c>
      <c r="AB23" s="23">
        <f t="shared" si="13"/>
        <v>0</v>
      </c>
      <c r="AC23" s="26"/>
      <c r="AD23" s="26"/>
    </row>
    <row r="24">
      <c r="C24" s="3" t="str">
        <f>Teams!C15</f>
        <v>T8P1</v>
      </c>
      <c r="D24" s="3"/>
      <c r="E24" s="5"/>
      <c r="F24" s="5"/>
      <c r="G24" s="5"/>
      <c r="H24" s="5">
        <f t="shared" ref="H24:H27" si="14">SUM(D24:G24)</f>
        <v>0</v>
      </c>
      <c r="J24" s="3" t="str">
        <f>Teams!C15</f>
        <v>T8P1</v>
      </c>
      <c r="K24" s="3"/>
      <c r="L24" s="5"/>
      <c r="M24" s="5"/>
      <c r="N24" s="5"/>
      <c r="O24" s="5">
        <f t="shared" ref="O24:O27" si="15">SUM(K24:N24)</f>
        <v>0</v>
      </c>
      <c r="Q24" s="3" t="str">
        <f>Teams!C15</f>
        <v>T8P1</v>
      </c>
      <c r="R24" s="3"/>
      <c r="S24" s="5"/>
      <c r="T24" s="5"/>
      <c r="U24" s="5"/>
      <c r="V24" s="5">
        <f t="shared" ref="V24:V27" si="16">SUM(R24:U24)</f>
        <v>0</v>
      </c>
      <c r="X24" s="28"/>
      <c r="Y24" s="26"/>
      <c r="Z24" s="26"/>
      <c r="AA24" s="23" t="str">
        <f>Teams!F15</f>
        <v>T8P4</v>
      </c>
      <c r="AB24" s="23">
        <f t="shared" si="13"/>
        <v>0</v>
      </c>
      <c r="AC24" s="26"/>
      <c r="AD24" s="26"/>
    </row>
    <row r="25">
      <c r="C25" s="3" t="str">
        <f>Teams!D15</f>
        <v>T8P2</v>
      </c>
      <c r="D25" s="5"/>
      <c r="E25" s="5"/>
      <c r="F25" s="5"/>
      <c r="G25" s="5"/>
      <c r="H25" s="5">
        <f t="shared" si="14"/>
        <v>0</v>
      </c>
      <c r="J25" s="3" t="str">
        <f>Teams!D15</f>
        <v>T8P2</v>
      </c>
      <c r="K25" s="5"/>
      <c r="L25" s="5"/>
      <c r="M25" s="5"/>
      <c r="N25" s="5"/>
      <c r="O25" s="5">
        <f t="shared" si="15"/>
        <v>0</v>
      </c>
      <c r="Q25" s="3" t="str">
        <f>Teams!D15</f>
        <v>T8P2</v>
      </c>
      <c r="R25" s="5"/>
      <c r="S25" s="5"/>
      <c r="T25" s="5"/>
      <c r="U25" s="5"/>
      <c r="V25" s="5">
        <f t="shared" si="16"/>
        <v>0</v>
      </c>
      <c r="X25" s="29"/>
      <c r="Y25" s="26"/>
      <c r="Z25" s="26"/>
      <c r="AA25" s="26"/>
      <c r="AB25" s="26"/>
      <c r="AC25" s="26"/>
      <c r="AD25" s="26"/>
    </row>
    <row r="26">
      <c r="C26" s="3" t="str">
        <f>Teams!E15</f>
        <v>T8P3</v>
      </c>
      <c r="D26" s="5"/>
      <c r="E26" s="5"/>
      <c r="F26" s="5"/>
      <c r="G26" s="5"/>
      <c r="H26" s="5">
        <f t="shared" si="14"/>
        <v>0</v>
      </c>
      <c r="J26" s="3" t="str">
        <f>Teams!E15</f>
        <v>T8P3</v>
      </c>
      <c r="K26" s="5"/>
      <c r="L26" s="5"/>
      <c r="M26" s="5"/>
      <c r="N26" s="5"/>
      <c r="O26" s="5">
        <f t="shared" si="15"/>
        <v>0</v>
      </c>
      <c r="Q26" s="3" t="str">
        <f>Teams!E15</f>
        <v>T8P3</v>
      </c>
      <c r="R26" s="5"/>
      <c r="S26" s="5"/>
      <c r="T26" s="5"/>
      <c r="U26" s="5"/>
      <c r="V26" s="5">
        <f t="shared" si="16"/>
        <v>0</v>
      </c>
      <c r="X26" s="28"/>
      <c r="Y26" s="26"/>
      <c r="Z26" s="26"/>
      <c r="AA26" s="26"/>
      <c r="AB26" s="26"/>
      <c r="AC26" s="26"/>
      <c r="AD26" s="26"/>
    </row>
    <row r="27">
      <c r="C27" s="3" t="str">
        <f>Teams!F15</f>
        <v>T8P4</v>
      </c>
      <c r="D27" s="5"/>
      <c r="E27" s="5"/>
      <c r="F27" s="5"/>
      <c r="G27" s="5"/>
      <c r="H27" s="5">
        <f t="shared" si="14"/>
        <v>0</v>
      </c>
      <c r="J27" s="3" t="str">
        <f>Teams!F15</f>
        <v>T8P4</v>
      </c>
      <c r="K27" s="5"/>
      <c r="L27" s="5"/>
      <c r="M27" s="5"/>
      <c r="N27" s="5"/>
      <c r="O27" s="5">
        <f t="shared" si="15"/>
        <v>0</v>
      </c>
      <c r="Q27" s="3" t="str">
        <f>Teams!F15</f>
        <v>T8P4</v>
      </c>
      <c r="R27" s="5"/>
      <c r="S27" s="5"/>
      <c r="T27" s="5"/>
      <c r="U27" s="5"/>
      <c r="V27" s="5">
        <f t="shared" si="16"/>
        <v>0</v>
      </c>
      <c r="X27" s="29"/>
      <c r="Y27" s="26"/>
      <c r="Z27" s="26"/>
      <c r="AA27" s="26"/>
      <c r="AB27" s="26"/>
      <c r="AC27" s="26"/>
      <c r="AD27" s="26"/>
    </row>
    <row r="28">
      <c r="H28" s="5"/>
      <c r="O28" s="5"/>
      <c r="V28" s="5"/>
      <c r="X28" s="28"/>
      <c r="Y28" s="26"/>
      <c r="Z28" s="26"/>
      <c r="AA28" s="26"/>
      <c r="AB28" s="26"/>
      <c r="AC28" s="26"/>
      <c r="AD28" s="26"/>
    </row>
    <row r="29">
      <c r="H29" s="5"/>
      <c r="O29" s="5"/>
      <c r="V29" s="5"/>
      <c r="X29" s="29"/>
      <c r="Y29" s="26"/>
      <c r="Z29" s="26"/>
      <c r="AA29" s="26"/>
      <c r="AB29" s="26"/>
      <c r="AC29" s="26"/>
      <c r="AD29" s="26"/>
    </row>
    <row r="30">
      <c r="H30" s="5"/>
      <c r="O30" s="5"/>
      <c r="V30" s="5"/>
      <c r="X30" s="28"/>
      <c r="Y30" s="26"/>
      <c r="Z30" s="26"/>
      <c r="AA30" s="26"/>
      <c r="AB30" s="26"/>
      <c r="AC30" s="26"/>
      <c r="AD30" s="26"/>
    </row>
    <row r="31">
      <c r="H31" s="5"/>
      <c r="O31" s="5"/>
      <c r="V31" s="5"/>
      <c r="X31" s="29"/>
      <c r="Y31" s="26"/>
      <c r="Z31" s="26"/>
      <c r="AA31" s="26"/>
      <c r="AB31" s="26"/>
      <c r="AC31" s="26"/>
      <c r="AD31" s="26"/>
    </row>
    <row r="32">
      <c r="H32" s="5"/>
      <c r="O32" s="5"/>
      <c r="V32" s="5"/>
      <c r="X32" s="28"/>
      <c r="Y32" s="26"/>
      <c r="Z32" s="26"/>
      <c r="AA32" s="26"/>
      <c r="AB32" s="26"/>
      <c r="AC32" s="26"/>
      <c r="AD32" s="26"/>
    </row>
    <row r="33">
      <c r="H33" s="5"/>
      <c r="O33" s="5"/>
      <c r="V33" s="5"/>
      <c r="X33" s="29"/>
      <c r="Y33" s="26"/>
      <c r="Z33" s="26"/>
      <c r="AA33" s="26"/>
      <c r="AB33" s="26"/>
      <c r="AC33" s="26"/>
      <c r="AD33" s="26"/>
    </row>
    <row r="34">
      <c r="H34" s="5"/>
      <c r="O34" s="5"/>
      <c r="V34" s="5"/>
      <c r="X34" s="28"/>
      <c r="Y34" s="26"/>
      <c r="Z34" s="26"/>
      <c r="AA34" s="26"/>
      <c r="AB34" s="26"/>
      <c r="AC34" s="26"/>
      <c r="AD34" s="26"/>
    </row>
    <row r="35">
      <c r="H35" s="5"/>
      <c r="O35" s="5"/>
      <c r="V35" s="5"/>
      <c r="X35" s="29"/>
      <c r="Y35" s="26"/>
      <c r="Z35" s="26"/>
      <c r="AA35" s="26"/>
      <c r="AB35" s="26"/>
      <c r="AC35" s="26"/>
      <c r="AD35" s="26"/>
    </row>
    <row r="36">
      <c r="H36" s="5"/>
      <c r="O36" s="5"/>
      <c r="V36" s="5"/>
      <c r="X36" s="28"/>
      <c r="Y36" s="26"/>
      <c r="Z36" s="26"/>
      <c r="AA36" s="26"/>
      <c r="AB36" s="26"/>
      <c r="AC36" s="26"/>
      <c r="AD36" s="26"/>
    </row>
    <row r="37">
      <c r="H37" s="5"/>
      <c r="O37" s="5"/>
      <c r="V37" s="5"/>
      <c r="X37" s="29"/>
      <c r="Y37" s="26"/>
      <c r="Z37" s="26"/>
      <c r="AA37" s="26"/>
      <c r="AB37" s="26"/>
      <c r="AC37" s="26"/>
      <c r="AD37" s="26"/>
    </row>
    <row r="38">
      <c r="H38" s="5"/>
      <c r="O38" s="5"/>
      <c r="V38" s="5"/>
      <c r="X38" s="28"/>
      <c r="Y38" s="26"/>
      <c r="Z38" s="26"/>
      <c r="AA38" s="26"/>
      <c r="AB38" s="26"/>
      <c r="AC38" s="26"/>
      <c r="AD38" s="26"/>
    </row>
    <row r="39">
      <c r="H39" s="5"/>
      <c r="O39" s="5"/>
      <c r="V39" s="5"/>
      <c r="X39" s="29"/>
      <c r="Y39" s="26"/>
      <c r="Z39" s="26"/>
      <c r="AA39" s="26"/>
      <c r="AB39" s="26"/>
      <c r="AC39" s="26"/>
      <c r="AD39" s="26"/>
    </row>
    <row r="40">
      <c r="H40" s="5"/>
      <c r="O40" s="5"/>
      <c r="V40" s="5"/>
      <c r="X40" s="28"/>
      <c r="Y40" s="26"/>
      <c r="Z40" s="26"/>
      <c r="AA40" s="26"/>
      <c r="AB40" s="26"/>
      <c r="AC40" s="26"/>
      <c r="AD40" s="26"/>
    </row>
    <row r="41">
      <c r="H41" s="5"/>
      <c r="O41" s="5"/>
      <c r="V41" s="5"/>
      <c r="X41" s="29"/>
      <c r="Y41" s="26"/>
      <c r="Z41" s="26"/>
      <c r="AA41" s="26"/>
      <c r="AB41" s="26"/>
      <c r="AC41" s="26"/>
      <c r="AD41" s="26"/>
    </row>
    <row r="42">
      <c r="H42" s="5"/>
      <c r="O42" s="5"/>
      <c r="V42" s="5"/>
      <c r="X42" s="28"/>
      <c r="Y42" s="26"/>
      <c r="Z42" s="26"/>
      <c r="AA42" s="26"/>
      <c r="AB42" s="26"/>
      <c r="AC42" s="26"/>
      <c r="AD42" s="26"/>
    </row>
    <row r="43">
      <c r="H43" s="5"/>
      <c r="O43" s="5"/>
      <c r="V43" s="5"/>
      <c r="X43" s="29"/>
      <c r="Y43" s="26"/>
      <c r="Z43" s="26"/>
      <c r="AA43" s="26"/>
      <c r="AB43" s="26"/>
      <c r="AC43" s="26"/>
      <c r="AD43" s="26"/>
    </row>
    <row r="44">
      <c r="H44" s="5"/>
      <c r="O44" s="5"/>
      <c r="V44" s="5"/>
      <c r="X44" s="28"/>
      <c r="Y44" s="26"/>
      <c r="Z44" s="26"/>
      <c r="AA44" s="26"/>
      <c r="AB44" s="26"/>
      <c r="AC44" s="26"/>
      <c r="AD44" s="26"/>
    </row>
    <row r="45">
      <c r="H45" s="5"/>
      <c r="O45" s="5"/>
      <c r="V45" s="5"/>
      <c r="X45" s="29"/>
      <c r="Y45" s="26"/>
      <c r="Z45" s="26"/>
      <c r="AA45" s="26"/>
      <c r="AB45" s="26"/>
      <c r="AC45" s="26"/>
      <c r="AD45" s="26"/>
    </row>
    <row r="46">
      <c r="H46" s="5"/>
      <c r="O46" s="5"/>
      <c r="V46" s="5"/>
      <c r="X46" s="28"/>
      <c r="Y46" s="26"/>
      <c r="Z46" s="26"/>
      <c r="AA46" s="26"/>
      <c r="AB46" s="26"/>
      <c r="AC46" s="26"/>
      <c r="AD46" s="26"/>
    </row>
    <row r="47">
      <c r="H47" s="5"/>
      <c r="O47" s="5"/>
      <c r="V47" s="5"/>
      <c r="X47" s="29"/>
      <c r="Y47" s="26"/>
      <c r="Z47" s="26"/>
      <c r="AA47" s="26"/>
      <c r="AB47" s="26"/>
      <c r="AC47" s="26"/>
      <c r="AD47" s="26"/>
    </row>
    <row r="48">
      <c r="H48" s="5"/>
      <c r="O48" s="5"/>
      <c r="V48" s="5"/>
      <c r="X48" s="28"/>
      <c r="Y48" s="26"/>
      <c r="Z48" s="26"/>
      <c r="AA48" s="26"/>
      <c r="AB48" s="26"/>
      <c r="AC48" s="26"/>
      <c r="AD48" s="26"/>
    </row>
    <row r="49">
      <c r="H49" s="5"/>
      <c r="O49" s="5"/>
      <c r="V49" s="5"/>
      <c r="X49" s="29"/>
      <c r="Y49" s="26"/>
      <c r="Z49" s="26"/>
      <c r="AA49" s="26"/>
      <c r="AB49" s="26"/>
      <c r="AC49" s="26"/>
      <c r="AD49" s="26"/>
    </row>
    <row r="50">
      <c r="H50" s="5"/>
      <c r="O50" s="5"/>
      <c r="V50" s="5"/>
      <c r="X50" s="28"/>
      <c r="Y50" s="26"/>
      <c r="Z50" s="26"/>
      <c r="AA50" s="26"/>
      <c r="AB50" s="26"/>
      <c r="AC50" s="26"/>
      <c r="AD50" s="26"/>
    </row>
    <row r="51">
      <c r="H51" s="5"/>
      <c r="O51" s="5"/>
      <c r="V51" s="5"/>
      <c r="X51" s="29"/>
      <c r="Y51" s="26"/>
      <c r="Z51" s="26"/>
      <c r="AA51" s="26"/>
      <c r="AB51" s="26"/>
      <c r="AC51" s="26"/>
      <c r="AD51" s="26"/>
    </row>
    <row r="52">
      <c r="H52" s="5"/>
      <c r="O52" s="5"/>
      <c r="V52" s="5"/>
      <c r="X52" s="28"/>
      <c r="Y52" s="26"/>
      <c r="Z52" s="26"/>
      <c r="AA52" s="26"/>
      <c r="AB52" s="26"/>
      <c r="AC52" s="26"/>
      <c r="AD52" s="26"/>
    </row>
    <row r="53">
      <c r="H53" s="5"/>
      <c r="O53" s="5"/>
      <c r="V53" s="5"/>
      <c r="X53" s="29"/>
      <c r="Y53" s="26"/>
      <c r="Z53" s="26"/>
      <c r="AA53" s="26"/>
      <c r="AB53" s="26"/>
      <c r="AC53" s="26"/>
      <c r="AD53" s="26"/>
    </row>
    <row r="54">
      <c r="H54" s="5"/>
      <c r="O54" s="5"/>
      <c r="V54" s="5"/>
      <c r="X54" s="28"/>
      <c r="Y54" s="26"/>
      <c r="Z54" s="26"/>
      <c r="AA54" s="26"/>
      <c r="AB54" s="26"/>
      <c r="AC54" s="26"/>
      <c r="AD54" s="26"/>
    </row>
    <row r="55">
      <c r="H55" s="5"/>
      <c r="O55" s="5"/>
      <c r="V55" s="5"/>
      <c r="X55" s="29"/>
      <c r="Y55" s="26"/>
      <c r="Z55" s="26"/>
      <c r="AA55" s="26"/>
      <c r="AB55" s="26"/>
      <c r="AC55" s="26"/>
      <c r="AD55" s="26"/>
    </row>
    <row r="56">
      <c r="H56" s="5"/>
      <c r="O56" s="5"/>
      <c r="V56" s="5"/>
      <c r="X56" s="28"/>
      <c r="Y56" s="26"/>
      <c r="Z56" s="26"/>
      <c r="AA56" s="26"/>
      <c r="AB56" s="26"/>
      <c r="AC56" s="26"/>
      <c r="AD56" s="26"/>
    </row>
    <row r="57">
      <c r="H57" s="5"/>
      <c r="O57" s="5"/>
      <c r="V57" s="5"/>
      <c r="X57" s="29"/>
      <c r="Y57" s="26"/>
      <c r="Z57" s="26"/>
      <c r="AA57" s="26"/>
      <c r="AB57" s="26"/>
      <c r="AC57" s="26"/>
      <c r="AD57" s="26"/>
    </row>
    <row r="58">
      <c r="H58" s="5"/>
      <c r="O58" s="5"/>
      <c r="V58" s="5"/>
      <c r="X58" s="28"/>
      <c r="Y58" s="26"/>
      <c r="Z58" s="26"/>
      <c r="AA58" s="26"/>
      <c r="AB58" s="26"/>
      <c r="AC58" s="26"/>
      <c r="AD58" s="26"/>
    </row>
    <row r="59">
      <c r="H59" s="5"/>
      <c r="O59" s="5"/>
      <c r="V59" s="5"/>
      <c r="X59" s="29"/>
      <c r="Y59" s="26"/>
      <c r="Z59" s="26"/>
      <c r="AA59" s="26"/>
      <c r="AB59" s="26"/>
      <c r="AC59" s="26"/>
      <c r="AD59" s="26"/>
    </row>
    <row r="60">
      <c r="H60" s="5"/>
      <c r="O60" s="5"/>
      <c r="V60" s="5"/>
      <c r="X60" s="28"/>
      <c r="Y60" s="26"/>
      <c r="Z60" s="26"/>
      <c r="AA60" s="26"/>
      <c r="AB60" s="26"/>
      <c r="AC60" s="26"/>
      <c r="AD60" s="26"/>
    </row>
    <row r="61">
      <c r="H61" s="5"/>
      <c r="O61" s="5"/>
      <c r="V61" s="5"/>
      <c r="X61" s="29"/>
      <c r="Y61" s="26"/>
      <c r="Z61" s="26"/>
      <c r="AA61" s="26"/>
      <c r="AB61" s="26"/>
      <c r="AC61" s="26"/>
      <c r="AD61" s="26"/>
    </row>
    <row r="62">
      <c r="H62" s="5"/>
      <c r="O62" s="5"/>
      <c r="V62" s="5"/>
      <c r="X62" s="28"/>
      <c r="Y62" s="26"/>
      <c r="Z62" s="26"/>
      <c r="AA62" s="26"/>
      <c r="AB62" s="26"/>
      <c r="AC62" s="26"/>
      <c r="AD62" s="26"/>
    </row>
    <row r="63">
      <c r="H63" s="5"/>
      <c r="O63" s="5"/>
      <c r="V63" s="5"/>
      <c r="X63" s="29"/>
      <c r="Y63" s="26"/>
      <c r="Z63" s="26"/>
      <c r="AA63" s="26"/>
      <c r="AB63" s="26"/>
      <c r="AC63" s="26"/>
      <c r="AD63" s="26"/>
    </row>
    <row r="64">
      <c r="H64" s="5"/>
      <c r="O64" s="5"/>
      <c r="V64" s="5"/>
      <c r="X64" s="28"/>
      <c r="Y64" s="26"/>
      <c r="Z64" s="26"/>
      <c r="AA64" s="26"/>
      <c r="AB64" s="26"/>
      <c r="AC64" s="26"/>
      <c r="AD64" s="26"/>
    </row>
    <row r="65">
      <c r="H65" s="5"/>
      <c r="O65" s="5"/>
      <c r="V65" s="5"/>
      <c r="X65" s="29"/>
      <c r="Y65" s="26"/>
      <c r="Z65" s="26"/>
      <c r="AA65" s="26"/>
      <c r="AB65" s="26"/>
      <c r="AC65" s="26"/>
      <c r="AD65" s="26"/>
    </row>
    <row r="66">
      <c r="H66" s="5"/>
      <c r="O66" s="5"/>
      <c r="V66" s="5"/>
      <c r="X66" s="28"/>
      <c r="Y66" s="26"/>
      <c r="Z66" s="26"/>
      <c r="AA66" s="26"/>
      <c r="AB66" s="26"/>
      <c r="AC66" s="26"/>
      <c r="AD66" s="26"/>
    </row>
    <row r="67">
      <c r="H67" s="5"/>
      <c r="O67" s="5"/>
      <c r="V67" s="5"/>
      <c r="X67" s="29"/>
      <c r="Y67" s="26"/>
      <c r="Z67" s="26"/>
      <c r="AA67" s="26"/>
      <c r="AB67" s="26"/>
      <c r="AC67" s="26"/>
      <c r="AD67" s="26"/>
    </row>
    <row r="68">
      <c r="H68" s="5"/>
      <c r="O68" s="5"/>
      <c r="V68" s="5"/>
      <c r="X68" s="28"/>
      <c r="Y68" s="26"/>
      <c r="Z68" s="26"/>
      <c r="AA68" s="26"/>
      <c r="AB68" s="26"/>
      <c r="AC68" s="26"/>
      <c r="AD68" s="26"/>
    </row>
    <row r="69">
      <c r="H69" s="5"/>
      <c r="O69" s="5"/>
      <c r="V69" s="5"/>
      <c r="X69" s="29"/>
      <c r="Y69" s="26"/>
      <c r="Z69" s="26"/>
      <c r="AA69" s="26"/>
      <c r="AB69" s="26"/>
      <c r="AC69" s="26"/>
      <c r="AD69" s="26"/>
    </row>
    <row r="70">
      <c r="H70" s="5"/>
      <c r="O70" s="5"/>
      <c r="V70" s="5"/>
      <c r="X70" s="28"/>
      <c r="Y70" s="26"/>
      <c r="Z70" s="26"/>
      <c r="AA70" s="26"/>
      <c r="AB70" s="26"/>
      <c r="AC70" s="26"/>
      <c r="AD70" s="26"/>
    </row>
    <row r="71">
      <c r="H71" s="5"/>
      <c r="O71" s="5"/>
      <c r="V71" s="5"/>
      <c r="X71" s="29"/>
      <c r="Y71" s="26"/>
      <c r="Z71" s="26"/>
      <c r="AA71" s="26"/>
      <c r="AB71" s="26"/>
      <c r="AC71" s="26"/>
      <c r="AD71" s="26"/>
    </row>
    <row r="72">
      <c r="H72" s="5"/>
      <c r="O72" s="5"/>
      <c r="V72" s="5"/>
      <c r="X72" s="28"/>
      <c r="Y72" s="26"/>
      <c r="Z72" s="26"/>
      <c r="AA72" s="26"/>
      <c r="AB72" s="26"/>
      <c r="AC72" s="26"/>
      <c r="AD72" s="26"/>
    </row>
    <row r="73">
      <c r="H73" s="5"/>
      <c r="O73" s="5"/>
      <c r="V73" s="5"/>
      <c r="X73" s="29"/>
      <c r="Y73" s="26"/>
      <c r="Z73" s="26"/>
      <c r="AA73" s="26"/>
      <c r="AB73" s="26"/>
      <c r="AC73" s="26"/>
      <c r="AD73" s="26"/>
    </row>
    <row r="74">
      <c r="H74" s="5"/>
      <c r="O74" s="5"/>
      <c r="V74" s="5"/>
      <c r="X74" s="28"/>
      <c r="Y74" s="26"/>
      <c r="Z74" s="26"/>
      <c r="AA74" s="26"/>
      <c r="AB74" s="26"/>
      <c r="AC74" s="26"/>
      <c r="AD74" s="26"/>
    </row>
    <row r="75">
      <c r="H75" s="5"/>
      <c r="O75" s="5"/>
      <c r="V75" s="5"/>
      <c r="X75" s="29"/>
      <c r="Y75" s="26"/>
      <c r="Z75" s="26"/>
      <c r="AA75" s="26"/>
      <c r="AB75" s="26"/>
      <c r="AC75" s="26"/>
      <c r="AD75" s="26"/>
    </row>
    <row r="76">
      <c r="H76" s="5"/>
      <c r="O76" s="5"/>
      <c r="V76" s="5"/>
      <c r="X76" s="28"/>
      <c r="Y76" s="26"/>
      <c r="Z76" s="26"/>
      <c r="AA76" s="26"/>
      <c r="AB76" s="26"/>
      <c r="AC76" s="26"/>
      <c r="AD76" s="26"/>
    </row>
    <row r="77">
      <c r="H77" s="5"/>
      <c r="O77" s="5"/>
      <c r="V77" s="5"/>
      <c r="X77" s="29"/>
      <c r="Y77" s="26"/>
      <c r="Z77" s="26"/>
      <c r="AA77" s="26"/>
      <c r="AB77" s="26"/>
      <c r="AC77" s="26"/>
      <c r="AD77" s="26"/>
    </row>
    <row r="78">
      <c r="H78" s="5"/>
      <c r="O78" s="5"/>
      <c r="V78" s="5"/>
      <c r="X78" s="28"/>
      <c r="Y78" s="26"/>
      <c r="Z78" s="26"/>
      <c r="AA78" s="26"/>
      <c r="AB78" s="26"/>
      <c r="AC78" s="26"/>
      <c r="AD78" s="26"/>
    </row>
    <row r="79">
      <c r="H79" s="5"/>
      <c r="O79" s="5"/>
      <c r="V79" s="5"/>
      <c r="X79" s="29"/>
      <c r="Y79" s="26"/>
      <c r="Z79" s="26"/>
      <c r="AA79" s="26"/>
      <c r="AB79" s="26"/>
      <c r="AC79" s="26"/>
      <c r="AD79" s="26"/>
    </row>
    <row r="80">
      <c r="H80" s="5"/>
      <c r="O80" s="5"/>
      <c r="V80" s="5"/>
      <c r="X80" s="28"/>
      <c r="Y80" s="26"/>
      <c r="Z80" s="26"/>
      <c r="AA80" s="26"/>
      <c r="AB80" s="26"/>
      <c r="AC80" s="26"/>
      <c r="AD80" s="26"/>
    </row>
    <row r="81">
      <c r="H81" s="5"/>
      <c r="O81" s="5"/>
      <c r="V81" s="5"/>
      <c r="X81" s="29"/>
      <c r="Y81" s="26"/>
      <c r="Z81" s="26"/>
      <c r="AA81" s="26"/>
      <c r="AB81" s="26"/>
      <c r="AC81" s="26"/>
      <c r="AD81" s="26"/>
    </row>
    <row r="82">
      <c r="H82" s="5"/>
      <c r="O82" s="5"/>
      <c r="V82" s="5"/>
      <c r="X82" s="28"/>
      <c r="Y82" s="26"/>
      <c r="Z82" s="26"/>
      <c r="AA82" s="26"/>
      <c r="AB82" s="26"/>
      <c r="AC82" s="26"/>
      <c r="AD82" s="26"/>
    </row>
    <row r="83">
      <c r="H83" s="5"/>
      <c r="O83" s="5"/>
      <c r="V83" s="5"/>
      <c r="X83" s="29"/>
      <c r="Y83" s="26"/>
      <c r="Z83" s="26"/>
      <c r="AA83" s="26"/>
      <c r="AB83" s="26"/>
      <c r="AC83" s="26"/>
      <c r="AD83" s="26"/>
    </row>
    <row r="84">
      <c r="H84" s="5"/>
      <c r="O84" s="5"/>
      <c r="V84" s="5"/>
      <c r="X84" s="28"/>
      <c r="Y84" s="26"/>
      <c r="Z84" s="26"/>
      <c r="AA84" s="26"/>
      <c r="AB84" s="26"/>
      <c r="AC84" s="26"/>
      <c r="AD84" s="26"/>
    </row>
    <row r="85">
      <c r="H85" s="5"/>
      <c r="O85" s="5"/>
      <c r="V85" s="5"/>
      <c r="X85" s="29"/>
      <c r="Y85" s="26"/>
      <c r="Z85" s="26"/>
      <c r="AA85" s="26"/>
      <c r="AB85" s="26"/>
      <c r="AC85" s="26"/>
      <c r="AD85" s="26"/>
    </row>
    <row r="86">
      <c r="H86" s="5"/>
      <c r="O86" s="5"/>
      <c r="V86" s="5"/>
      <c r="X86" s="28"/>
      <c r="Y86" s="26"/>
      <c r="Z86" s="26"/>
      <c r="AA86" s="26"/>
      <c r="AB86" s="26"/>
      <c r="AC86" s="26"/>
      <c r="AD86" s="26"/>
    </row>
    <row r="87">
      <c r="H87" s="5"/>
      <c r="O87" s="5"/>
      <c r="V87" s="5"/>
      <c r="X87" s="29"/>
      <c r="Y87" s="26"/>
      <c r="Z87" s="26"/>
      <c r="AA87" s="26"/>
      <c r="AB87" s="26"/>
      <c r="AC87" s="26"/>
      <c r="AD87" s="26"/>
    </row>
    <row r="88">
      <c r="H88" s="5"/>
      <c r="O88" s="5"/>
      <c r="V88" s="5"/>
      <c r="X88" s="28"/>
      <c r="Y88" s="26"/>
      <c r="Z88" s="26"/>
      <c r="AA88" s="26"/>
      <c r="AB88" s="26"/>
      <c r="AC88" s="26"/>
      <c r="AD88" s="26"/>
    </row>
    <row r="89">
      <c r="H89" s="5"/>
      <c r="O89" s="5"/>
      <c r="V89" s="5"/>
      <c r="X89" s="29"/>
      <c r="Y89" s="26"/>
      <c r="Z89" s="26"/>
      <c r="AA89" s="26"/>
      <c r="AB89" s="26"/>
      <c r="AC89" s="26"/>
      <c r="AD89" s="26"/>
    </row>
    <row r="90">
      <c r="H90" s="5"/>
      <c r="O90" s="5"/>
      <c r="V90" s="5"/>
      <c r="X90" s="28"/>
      <c r="Y90" s="26"/>
      <c r="Z90" s="26"/>
      <c r="AA90" s="26"/>
      <c r="AB90" s="26"/>
      <c r="AC90" s="26"/>
      <c r="AD90" s="26"/>
    </row>
    <row r="91">
      <c r="H91" s="5"/>
      <c r="O91" s="5"/>
      <c r="V91" s="5"/>
      <c r="X91" s="29"/>
      <c r="Y91" s="26"/>
      <c r="Z91" s="26"/>
      <c r="AA91" s="26"/>
      <c r="AB91" s="26"/>
      <c r="AC91" s="26"/>
      <c r="AD91" s="26"/>
    </row>
    <row r="92">
      <c r="H92" s="5"/>
      <c r="O92" s="5"/>
      <c r="V92" s="5"/>
      <c r="X92" s="28"/>
      <c r="Y92" s="26"/>
      <c r="Z92" s="26"/>
      <c r="AA92" s="26"/>
      <c r="AB92" s="26"/>
      <c r="AC92" s="26"/>
      <c r="AD92" s="26"/>
    </row>
    <row r="93">
      <c r="H93" s="5"/>
      <c r="O93" s="5"/>
      <c r="V93" s="5"/>
      <c r="X93" s="29"/>
      <c r="Y93" s="26"/>
      <c r="Z93" s="26"/>
      <c r="AA93" s="26"/>
      <c r="AB93" s="26"/>
      <c r="AC93" s="26"/>
      <c r="AD93" s="26"/>
    </row>
    <row r="94">
      <c r="H94" s="5"/>
      <c r="O94" s="5"/>
      <c r="V94" s="5"/>
      <c r="X94" s="28"/>
      <c r="Y94" s="26"/>
      <c r="Z94" s="26"/>
      <c r="AA94" s="26"/>
      <c r="AB94" s="26"/>
      <c r="AC94" s="26"/>
      <c r="AD94" s="26"/>
    </row>
    <row r="95">
      <c r="H95" s="5"/>
      <c r="O95" s="5"/>
      <c r="V95" s="5"/>
      <c r="X95" s="29"/>
      <c r="Y95" s="26"/>
      <c r="Z95" s="26"/>
      <c r="AA95" s="26"/>
      <c r="AB95" s="26"/>
      <c r="AC95" s="26"/>
      <c r="AD95" s="26"/>
    </row>
    <row r="96">
      <c r="H96" s="5"/>
      <c r="O96" s="5"/>
      <c r="V96" s="5"/>
      <c r="X96" s="28"/>
      <c r="Y96" s="26"/>
      <c r="Z96" s="26"/>
      <c r="AA96" s="26"/>
      <c r="AB96" s="26"/>
      <c r="AC96" s="26"/>
      <c r="AD96" s="26"/>
    </row>
    <row r="97">
      <c r="H97" s="5"/>
      <c r="O97" s="5"/>
      <c r="V97" s="5"/>
      <c r="X97" s="29"/>
      <c r="Y97" s="26"/>
      <c r="Z97" s="26"/>
      <c r="AA97" s="26"/>
      <c r="AB97" s="26"/>
      <c r="AC97" s="26"/>
      <c r="AD97" s="26"/>
    </row>
    <row r="98">
      <c r="H98" s="5"/>
      <c r="O98" s="5"/>
      <c r="V98" s="5"/>
      <c r="X98" s="28"/>
      <c r="Y98" s="26"/>
      <c r="Z98" s="26"/>
      <c r="AA98" s="26"/>
      <c r="AB98" s="26"/>
      <c r="AC98" s="26"/>
      <c r="AD98" s="26"/>
    </row>
    <row r="99">
      <c r="H99" s="5"/>
      <c r="O99" s="5"/>
      <c r="V99" s="5"/>
      <c r="X99" s="29"/>
      <c r="Y99" s="26"/>
      <c r="Z99" s="26"/>
      <c r="AA99" s="26"/>
      <c r="AB99" s="26"/>
      <c r="AC99" s="26"/>
      <c r="AD99" s="26"/>
    </row>
    <row r="100">
      <c r="H100" s="5"/>
      <c r="O100" s="5"/>
      <c r="V100" s="5"/>
      <c r="X100" s="28"/>
      <c r="Y100" s="26"/>
      <c r="Z100" s="26"/>
      <c r="AA100" s="26"/>
      <c r="AB100" s="26"/>
      <c r="AC100" s="26"/>
      <c r="AD100" s="26"/>
    </row>
    <row r="101">
      <c r="H101" s="5"/>
      <c r="O101" s="5"/>
      <c r="V101" s="5"/>
      <c r="X101" s="29"/>
      <c r="Y101" s="26"/>
      <c r="Z101" s="26"/>
      <c r="AA101" s="26"/>
      <c r="AB101" s="26"/>
      <c r="AC101" s="26"/>
      <c r="AD101" s="26"/>
    </row>
    <row r="102">
      <c r="H102" s="5"/>
      <c r="O102" s="5"/>
      <c r="V102" s="5"/>
      <c r="X102" s="28"/>
      <c r="Y102" s="26"/>
      <c r="Z102" s="26"/>
      <c r="AA102" s="26"/>
      <c r="AB102" s="26"/>
      <c r="AC102" s="26"/>
      <c r="AD102" s="26"/>
    </row>
    <row r="103">
      <c r="H103" s="5"/>
      <c r="O103" s="5"/>
      <c r="V103" s="5"/>
      <c r="X103" s="29"/>
      <c r="Y103" s="26"/>
      <c r="Z103" s="26"/>
      <c r="AA103" s="26"/>
      <c r="AB103" s="26"/>
      <c r="AC103" s="26"/>
      <c r="AD103" s="26"/>
    </row>
    <row r="104">
      <c r="H104" s="5"/>
      <c r="O104" s="5"/>
      <c r="V104" s="5"/>
      <c r="X104" s="28"/>
      <c r="Y104" s="26"/>
      <c r="Z104" s="26"/>
      <c r="AA104" s="26"/>
      <c r="AB104" s="26"/>
      <c r="AC104" s="26"/>
      <c r="AD104" s="26"/>
    </row>
    <row r="105">
      <c r="H105" s="5"/>
      <c r="O105" s="5"/>
      <c r="V105" s="5"/>
      <c r="X105" s="29"/>
      <c r="Y105" s="26"/>
      <c r="Z105" s="26"/>
      <c r="AA105" s="26"/>
      <c r="AB105" s="26"/>
      <c r="AC105" s="26"/>
      <c r="AD105" s="26"/>
    </row>
    <row r="106">
      <c r="H106" s="5"/>
      <c r="O106" s="5"/>
      <c r="V106" s="5"/>
      <c r="X106" s="28"/>
      <c r="Y106" s="26"/>
      <c r="Z106" s="26"/>
      <c r="AA106" s="26"/>
      <c r="AB106" s="26"/>
      <c r="AC106" s="26"/>
      <c r="AD106" s="26"/>
    </row>
    <row r="107">
      <c r="H107" s="5"/>
      <c r="O107" s="5"/>
      <c r="V107" s="5"/>
      <c r="X107" s="29"/>
      <c r="Y107" s="26"/>
      <c r="Z107" s="26"/>
      <c r="AA107" s="26"/>
      <c r="AB107" s="26"/>
      <c r="AC107" s="26"/>
      <c r="AD107" s="26"/>
    </row>
    <row r="108">
      <c r="H108" s="5"/>
      <c r="O108" s="5"/>
      <c r="V108" s="5"/>
      <c r="X108" s="28"/>
      <c r="Y108" s="26"/>
      <c r="Z108" s="26"/>
      <c r="AA108" s="26"/>
      <c r="AB108" s="26"/>
      <c r="AC108" s="26"/>
      <c r="AD108" s="26"/>
    </row>
    <row r="109">
      <c r="H109" s="5"/>
      <c r="O109" s="5"/>
      <c r="V109" s="5"/>
      <c r="X109" s="29"/>
      <c r="Y109" s="26"/>
      <c r="Z109" s="26"/>
      <c r="AA109" s="26"/>
      <c r="AB109" s="26"/>
      <c r="AC109" s="26"/>
      <c r="AD109" s="26"/>
    </row>
    <row r="110">
      <c r="H110" s="5"/>
      <c r="O110" s="5"/>
      <c r="V110" s="5"/>
      <c r="X110" s="28"/>
      <c r="Y110" s="26"/>
      <c r="Z110" s="26"/>
      <c r="AA110" s="26"/>
      <c r="AB110" s="26"/>
      <c r="AC110" s="26"/>
      <c r="AD110" s="26"/>
    </row>
    <row r="111">
      <c r="H111" s="5"/>
      <c r="O111" s="5"/>
      <c r="V111" s="5"/>
      <c r="X111" s="29"/>
      <c r="Y111" s="26"/>
      <c r="Z111" s="26"/>
      <c r="AA111" s="26"/>
      <c r="AB111" s="26"/>
      <c r="AC111" s="26"/>
      <c r="AD111" s="26"/>
    </row>
    <row r="112">
      <c r="H112" s="5"/>
      <c r="O112" s="5"/>
      <c r="V112" s="5"/>
      <c r="X112" s="28"/>
      <c r="Y112" s="26"/>
      <c r="Z112" s="26"/>
      <c r="AA112" s="26"/>
      <c r="AB112" s="26"/>
      <c r="AC112" s="26"/>
      <c r="AD112" s="26"/>
    </row>
    <row r="113">
      <c r="H113" s="5"/>
      <c r="O113" s="5"/>
      <c r="V113" s="5"/>
      <c r="X113" s="29"/>
      <c r="Y113" s="26"/>
      <c r="Z113" s="26"/>
      <c r="AA113" s="26"/>
      <c r="AB113" s="26"/>
      <c r="AC113" s="26"/>
      <c r="AD113" s="26"/>
    </row>
    <row r="114">
      <c r="H114" s="5"/>
      <c r="O114" s="5"/>
      <c r="V114" s="5"/>
      <c r="X114" s="28"/>
      <c r="Y114" s="26"/>
      <c r="Z114" s="26"/>
      <c r="AA114" s="26"/>
      <c r="AB114" s="26"/>
      <c r="AC114" s="26"/>
      <c r="AD114" s="26"/>
    </row>
    <row r="115">
      <c r="H115" s="5"/>
      <c r="O115" s="5"/>
      <c r="V115" s="5"/>
      <c r="X115" s="29"/>
      <c r="Y115" s="26"/>
      <c r="Z115" s="26"/>
      <c r="AA115" s="26"/>
      <c r="AB115" s="26"/>
      <c r="AC115" s="26"/>
      <c r="AD115" s="26"/>
    </row>
    <row r="116">
      <c r="H116" s="5"/>
      <c r="O116" s="5"/>
      <c r="V116" s="5"/>
      <c r="X116" s="28"/>
      <c r="Y116" s="26"/>
      <c r="Z116" s="26"/>
      <c r="AA116" s="26"/>
      <c r="AB116" s="26"/>
      <c r="AC116" s="26"/>
      <c r="AD116" s="26"/>
    </row>
    <row r="117">
      <c r="H117" s="5"/>
      <c r="O117" s="5"/>
      <c r="V117" s="5"/>
      <c r="X117" s="29"/>
      <c r="Y117" s="26"/>
      <c r="Z117" s="26"/>
      <c r="AA117" s="26"/>
      <c r="AB117" s="26"/>
      <c r="AC117" s="26"/>
      <c r="AD117" s="26"/>
    </row>
    <row r="118">
      <c r="H118" s="5"/>
      <c r="O118" s="5"/>
      <c r="V118" s="5"/>
      <c r="X118" s="28"/>
      <c r="Y118" s="26"/>
      <c r="Z118" s="26"/>
      <c r="AA118" s="26"/>
      <c r="AB118" s="26"/>
      <c r="AC118" s="26"/>
      <c r="AD118" s="26"/>
    </row>
    <row r="119">
      <c r="H119" s="5"/>
      <c r="O119" s="5"/>
      <c r="V119" s="5"/>
      <c r="X119" s="29"/>
      <c r="Y119" s="26"/>
      <c r="Z119" s="26"/>
      <c r="AA119" s="26"/>
      <c r="AB119" s="26"/>
      <c r="AC119" s="26"/>
      <c r="AD119" s="26"/>
    </row>
    <row r="120">
      <c r="H120" s="5"/>
      <c r="O120" s="5"/>
      <c r="V120" s="5"/>
      <c r="X120" s="28"/>
      <c r="Y120" s="26"/>
      <c r="Z120" s="26"/>
      <c r="AA120" s="26"/>
      <c r="AB120" s="26"/>
      <c r="AC120" s="26"/>
      <c r="AD120" s="26"/>
    </row>
    <row r="121">
      <c r="H121" s="5"/>
      <c r="O121" s="5"/>
      <c r="V121" s="5"/>
      <c r="X121" s="29"/>
      <c r="Y121" s="26"/>
      <c r="Z121" s="26"/>
      <c r="AA121" s="26"/>
      <c r="AB121" s="26"/>
      <c r="AC121" s="26"/>
      <c r="AD121" s="26"/>
    </row>
    <row r="122">
      <c r="H122" s="5"/>
      <c r="O122" s="5"/>
      <c r="V122" s="5"/>
      <c r="X122" s="28"/>
      <c r="Y122" s="26"/>
      <c r="Z122" s="26"/>
      <c r="AA122" s="26"/>
      <c r="AB122" s="26"/>
      <c r="AC122" s="26"/>
      <c r="AD122" s="26"/>
    </row>
    <row r="123">
      <c r="H123" s="5"/>
      <c r="O123" s="5"/>
      <c r="V123" s="5"/>
      <c r="X123" s="29"/>
      <c r="Y123" s="26"/>
      <c r="Z123" s="26"/>
      <c r="AA123" s="26"/>
      <c r="AB123" s="26"/>
      <c r="AC123" s="26"/>
      <c r="AD123" s="26"/>
    </row>
    <row r="124">
      <c r="H124" s="5"/>
      <c r="O124" s="5"/>
      <c r="V124" s="5"/>
      <c r="X124" s="28"/>
      <c r="Y124" s="26"/>
      <c r="Z124" s="26"/>
      <c r="AA124" s="26"/>
      <c r="AB124" s="26"/>
      <c r="AC124" s="26"/>
      <c r="AD124" s="26"/>
    </row>
    <row r="125">
      <c r="H125" s="5"/>
      <c r="O125" s="5"/>
      <c r="V125" s="5"/>
      <c r="X125" s="29"/>
      <c r="Y125" s="26"/>
      <c r="Z125" s="26"/>
      <c r="AA125" s="26"/>
      <c r="AB125" s="26"/>
      <c r="AC125" s="26"/>
      <c r="AD125" s="26"/>
    </row>
    <row r="126">
      <c r="H126" s="5"/>
      <c r="O126" s="5"/>
      <c r="V126" s="5"/>
      <c r="X126" s="28"/>
      <c r="Y126" s="26"/>
      <c r="Z126" s="26"/>
      <c r="AA126" s="26"/>
      <c r="AB126" s="26"/>
      <c r="AC126" s="26"/>
      <c r="AD126" s="26"/>
    </row>
    <row r="127">
      <c r="H127" s="5"/>
      <c r="O127" s="5"/>
      <c r="V127" s="5"/>
      <c r="X127" s="29"/>
      <c r="Y127" s="26"/>
      <c r="Z127" s="26"/>
      <c r="AA127" s="26"/>
      <c r="AB127" s="26"/>
      <c r="AC127" s="26"/>
      <c r="AD127" s="26"/>
    </row>
    <row r="128">
      <c r="H128" s="5"/>
      <c r="O128" s="5"/>
      <c r="V128" s="5"/>
      <c r="X128" s="28"/>
      <c r="Y128" s="26"/>
      <c r="Z128" s="26"/>
      <c r="AA128" s="26"/>
      <c r="AB128" s="26"/>
      <c r="AC128" s="26"/>
      <c r="AD128" s="26"/>
    </row>
    <row r="129">
      <c r="H129" s="5"/>
      <c r="O129" s="5"/>
      <c r="V129" s="5"/>
      <c r="X129" s="29"/>
      <c r="Y129" s="26"/>
      <c r="Z129" s="26"/>
      <c r="AA129" s="26"/>
      <c r="AB129" s="26"/>
      <c r="AC129" s="26"/>
      <c r="AD129" s="26"/>
    </row>
    <row r="130">
      <c r="H130" s="5"/>
      <c r="O130" s="5"/>
      <c r="V130" s="5"/>
      <c r="X130" s="28"/>
      <c r="Y130" s="26"/>
      <c r="Z130" s="26"/>
      <c r="AA130" s="26"/>
      <c r="AB130" s="26"/>
      <c r="AC130" s="26"/>
      <c r="AD130" s="26"/>
    </row>
    <row r="131">
      <c r="H131" s="5"/>
      <c r="O131" s="5"/>
      <c r="V131" s="5"/>
      <c r="X131" s="29"/>
      <c r="Y131" s="26"/>
      <c r="Z131" s="26"/>
      <c r="AA131" s="26"/>
      <c r="AB131" s="26"/>
      <c r="AC131" s="26"/>
      <c r="AD131" s="26"/>
    </row>
    <row r="132">
      <c r="H132" s="5"/>
      <c r="O132" s="5"/>
      <c r="V132" s="5"/>
      <c r="X132" s="28"/>
      <c r="Y132" s="26"/>
      <c r="Z132" s="26"/>
      <c r="AA132" s="26"/>
      <c r="AB132" s="26"/>
      <c r="AC132" s="26"/>
      <c r="AD132" s="26"/>
    </row>
    <row r="133">
      <c r="H133" s="5"/>
      <c r="O133" s="5"/>
      <c r="V133" s="5"/>
      <c r="X133" s="29"/>
      <c r="Y133" s="26"/>
      <c r="Z133" s="26"/>
      <c r="AA133" s="26"/>
      <c r="AB133" s="26"/>
      <c r="AC133" s="26"/>
      <c r="AD133" s="26"/>
    </row>
    <row r="134">
      <c r="H134" s="5"/>
      <c r="O134" s="5"/>
      <c r="V134" s="5"/>
      <c r="X134" s="28"/>
      <c r="Y134" s="26"/>
      <c r="Z134" s="26"/>
      <c r="AA134" s="26"/>
      <c r="AB134" s="26"/>
      <c r="AC134" s="26"/>
      <c r="AD134" s="26"/>
    </row>
    <row r="135">
      <c r="H135" s="5"/>
      <c r="O135" s="5"/>
      <c r="V135" s="5"/>
      <c r="X135" s="29"/>
      <c r="Y135" s="26"/>
      <c r="Z135" s="26"/>
      <c r="AA135" s="26"/>
      <c r="AB135" s="26"/>
      <c r="AC135" s="26"/>
      <c r="AD135" s="26"/>
    </row>
    <row r="136">
      <c r="H136" s="5"/>
      <c r="O136" s="5"/>
      <c r="V136" s="5"/>
      <c r="X136" s="28"/>
      <c r="Y136" s="26"/>
      <c r="Z136" s="26"/>
      <c r="AA136" s="26"/>
      <c r="AB136" s="26"/>
      <c r="AC136" s="26"/>
      <c r="AD136" s="26"/>
    </row>
    <row r="137">
      <c r="H137" s="5"/>
      <c r="O137" s="5"/>
      <c r="V137" s="5"/>
      <c r="X137" s="29"/>
      <c r="Y137" s="26"/>
      <c r="Z137" s="26"/>
      <c r="AA137" s="26"/>
      <c r="AB137" s="26"/>
      <c r="AC137" s="26"/>
      <c r="AD137" s="26"/>
    </row>
    <row r="138">
      <c r="H138" s="5"/>
      <c r="O138" s="5"/>
      <c r="V138" s="5"/>
      <c r="X138" s="28"/>
      <c r="Y138" s="26"/>
      <c r="Z138" s="26"/>
      <c r="AA138" s="26"/>
      <c r="AB138" s="26"/>
      <c r="AC138" s="26"/>
      <c r="AD138" s="26"/>
    </row>
    <row r="139">
      <c r="H139" s="5"/>
      <c r="O139" s="5"/>
      <c r="V139" s="5"/>
      <c r="X139" s="29"/>
      <c r="Y139" s="26"/>
      <c r="Z139" s="26"/>
      <c r="AA139" s="26"/>
      <c r="AB139" s="26"/>
      <c r="AC139" s="26"/>
      <c r="AD139" s="26"/>
    </row>
    <row r="140">
      <c r="H140" s="5"/>
      <c r="O140" s="5"/>
      <c r="V140" s="5"/>
      <c r="X140" s="28"/>
      <c r="Y140" s="26"/>
      <c r="Z140" s="26"/>
      <c r="AA140" s="26"/>
      <c r="AB140" s="26"/>
      <c r="AC140" s="26"/>
      <c r="AD140" s="26"/>
    </row>
    <row r="141">
      <c r="H141" s="5"/>
      <c r="O141" s="5"/>
      <c r="V141" s="5"/>
      <c r="X141" s="29"/>
      <c r="Y141" s="26"/>
      <c r="Z141" s="26"/>
      <c r="AA141" s="26"/>
      <c r="AB141" s="26"/>
      <c r="AC141" s="26"/>
      <c r="AD141" s="26"/>
    </row>
    <row r="142">
      <c r="H142" s="5"/>
      <c r="O142" s="5"/>
      <c r="V142" s="5"/>
      <c r="X142" s="28"/>
      <c r="Y142" s="26"/>
      <c r="Z142" s="26"/>
      <c r="AA142" s="26"/>
      <c r="AB142" s="26"/>
      <c r="AC142" s="26"/>
      <c r="AD142" s="26"/>
    </row>
    <row r="143">
      <c r="H143" s="5"/>
      <c r="O143" s="5"/>
      <c r="V143" s="5"/>
      <c r="X143" s="29"/>
      <c r="Y143" s="26"/>
      <c r="Z143" s="26"/>
      <c r="AA143" s="26"/>
      <c r="AB143" s="26"/>
      <c r="AC143" s="26"/>
      <c r="AD143" s="26"/>
    </row>
    <row r="144">
      <c r="H144" s="5"/>
      <c r="O144" s="5"/>
      <c r="V144" s="5"/>
      <c r="X144" s="28"/>
      <c r="Y144" s="26"/>
      <c r="Z144" s="26"/>
      <c r="AA144" s="26"/>
      <c r="AB144" s="26"/>
      <c r="AC144" s="26"/>
      <c r="AD144" s="26"/>
    </row>
    <row r="145">
      <c r="H145" s="5"/>
      <c r="O145" s="5"/>
      <c r="V145" s="5"/>
      <c r="X145" s="29"/>
      <c r="Y145" s="26"/>
      <c r="Z145" s="26"/>
      <c r="AA145" s="26"/>
      <c r="AB145" s="26"/>
      <c r="AC145" s="26"/>
      <c r="AD145" s="26"/>
    </row>
    <row r="146">
      <c r="H146" s="5"/>
      <c r="O146" s="5"/>
      <c r="V146" s="5"/>
      <c r="X146" s="28"/>
      <c r="Y146" s="26"/>
      <c r="Z146" s="26"/>
      <c r="AA146" s="26"/>
      <c r="AB146" s="26"/>
      <c r="AC146" s="26"/>
      <c r="AD146" s="26"/>
    </row>
    <row r="147">
      <c r="H147" s="5"/>
      <c r="O147" s="5"/>
      <c r="V147" s="5"/>
      <c r="X147" s="29"/>
      <c r="Y147" s="26"/>
      <c r="Z147" s="26"/>
      <c r="AA147" s="26"/>
      <c r="AB147" s="26"/>
      <c r="AC147" s="26"/>
      <c r="AD147" s="26"/>
    </row>
    <row r="148">
      <c r="H148" s="5"/>
      <c r="O148" s="5"/>
      <c r="V148" s="5"/>
      <c r="X148" s="28"/>
      <c r="Y148" s="26"/>
      <c r="Z148" s="26"/>
      <c r="AA148" s="26"/>
      <c r="AB148" s="26"/>
      <c r="AC148" s="26"/>
      <c r="AD148" s="26"/>
    </row>
    <row r="149">
      <c r="H149" s="5"/>
      <c r="O149" s="5"/>
      <c r="V149" s="5"/>
      <c r="X149" s="29"/>
      <c r="Y149" s="26"/>
      <c r="Z149" s="26"/>
      <c r="AA149" s="26"/>
      <c r="AB149" s="26"/>
      <c r="AC149" s="26"/>
      <c r="AD149" s="26"/>
    </row>
    <row r="150">
      <c r="H150" s="5"/>
      <c r="O150" s="5"/>
      <c r="V150" s="5"/>
      <c r="X150" s="28"/>
      <c r="Y150" s="26"/>
      <c r="Z150" s="26"/>
      <c r="AA150" s="26"/>
      <c r="AB150" s="26"/>
      <c r="AC150" s="26"/>
      <c r="AD150" s="26"/>
    </row>
    <row r="151">
      <c r="H151" s="5"/>
      <c r="O151" s="5"/>
      <c r="V151" s="5"/>
      <c r="X151" s="29"/>
      <c r="Y151" s="26"/>
      <c r="Z151" s="26"/>
      <c r="AA151" s="26"/>
      <c r="AB151" s="26"/>
      <c r="AC151" s="26"/>
      <c r="AD151" s="26"/>
    </row>
    <row r="152">
      <c r="H152" s="5"/>
      <c r="O152" s="5"/>
      <c r="V152" s="5"/>
      <c r="X152" s="28"/>
      <c r="Y152" s="26"/>
      <c r="Z152" s="26"/>
      <c r="AA152" s="26"/>
      <c r="AB152" s="26"/>
      <c r="AC152" s="26"/>
      <c r="AD152" s="26"/>
    </row>
    <row r="153">
      <c r="H153" s="5"/>
      <c r="O153" s="5"/>
      <c r="V153" s="5"/>
      <c r="X153" s="29"/>
      <c r="Y153" s="26"/>
      <c r="Z153" s="26"/>
      <c r="AA153" s="26"/>
      <c r="AB153" s="26"/>
      <c r="AC153" s="26"/>
      <c r="AD153" s="26"/>
    </row>
    <row r="154">
      <c r="H154" s="5"/>
      <c r="O154" s="5"/>
      <c r="V154" s="5"/>
      <c r="X154" s="28"/>
      <c r="Y154" s="26"/>
      <c r="Z154" s="26"/>
      <c r="AA154" s="26"/>
      <c r="AB154" s="26"/>
      <c r="AC154" s="26"/>
      <c r="AD154" s="26"/>
    </row>
    <row r="155">
      <c r="H155" s="5"/>
      <c r="O155" s="5"/>
      <c r="V155" s="5"/>
      <c r="X155" s="29"/>
      <c r="Y155" s="26"/>
      <c r="Z155" s="26"/>
      <c r="AA155" s="26"/>
      <c r="AB155" s="26"/>
      <c r="AC155" s="26"/>
      <c r="AD155" s="26"/>
    </row>
    <row r="156">
      <c r="H156" s="5"/>
      <c r="O156" s="5"/>
      <c r="V156" s="5"/>
      <c r="X156" s="28"/>
      <c r="Y156" s="26"/>
      <c r="Z156" s="26"/>
      <c r="AA156" s="26"/>
      <c r="AB156" s="26"/>
      <c r="AC156" s="26"/>
      <c r="AD156" s="26"/>
    </row>
    <row r="157">
      <c r="H157" s="5"/>
      <c r="O157" s="5"/>
      <c r="V157" s="5"/>
      <c r="X157" s="29"/>
      <c r="Y157" s="26"/>
      <c r="Z157" s="26"/>
      <c r="AA157" s="26"/>
      <c r="AB157" s="26"/>
      <c r="AC157" s="26"/>
      <c r="AD157" s="26"/>
    </row>
    <row r="158">
      <c r="H158" s="5"/>
      <c r="O158" s="5"/>
      <c r="V158" s="5"/>
      <c r="X158" s="28"/>
      <c r="Y158" s="26"/>
      <c r="Z158" s="26"/>
      <c r="AA158" s="26"/>
      <c r="AB158" s="26"/>
      <c r="AC158" s="26"/>
      <c r="AD158" s="26"/>
    </row>
    <row r="159">
      <c r="H159" s="5"/>
      <c r="O159" s="5"/>
      <c r="V159" s="5"/>
      <c r="X159" s="29"/>
      <c r="Y159" s="26"/>
      <c r="Z159" s="26"/>
      <c r="AA159" s="26"/>
      <c r="AB159" s="26"/>
      <c r="AC159" s="26"/>
      <c r="AD159" s="26"/>
    </row>
    <row r="160">
      <c r="H160" s="5"/>
      <c r="O160" s="5"/>
      <c r="V160" s="5"/>
      <c r="X160" s="28"/>
      <c r="Y160" s="26"/>
      <c r="Z160" s="26"/>
      <c r="AA160" s="26"/>
      <c r="AB160" s="26"/>
      <c r="AC160" s="26"/>
      <c r="AD160" s="26"/>
    </row>
    <row r="161">
      <c r="H161" s="5"/>
      <c r="O161" s="5"/>
      <c r="V161" s="5"/>
      <c r="X161" s="29"/>
      <c r="Y161" s="26"/>
      <c r="Z161" s="26"/>
      <c r="AA161" s="26"/>
      <c r="AB161" s="26"/>
      <c r="AC161" s="26"/>
      <c r="AD161" s="26"/>
    </row>
    <row r="162">
      <c r="H162" s="5"/>
      <c r="O162" s="5"/>
      <c r="V162" s="5"/>
      <c r="X162" s="28"/>
      <c r="Y162" s="26"/>
      <c r="Z162" s="26"/>
      <c r="AA162" s="26"/>
      <c r="AB162" s="26"/>
      <c r="AC162" s="26"/>
      <c r="AD162" s="26"/>
    </row>
    <row r="163">
      <c r="H163" s="5"/>
      <c r="O163" s="5"/>
      <c r="V163" s="5"/>
      <c r="X163" s="29"/>
      <c r="Y163" s="26"/>
      <c r="Z163" s="26"/>
      <c r="AA163" s="26"/>
      <c r="AB163" s="26"/>
      <c r="AC163" s="26"/>
      <c r="AD163" s="26"/>
    </row>
    <row r="164">
      <c r="H164" s="5"/>
      <c r="O164" s="5"/>
      <c r="V164" s="5"/>
      <c r="X164" s="28"/>
      <c r="Y164" s="26"/>
      <c r="Z164" s="26"/>
      <c r="AA164" s="26"/>
      <c r="AB164" s="26"/>
      <c r="AC164" s="26"/>
      <c r="AD164" s="26"/>
    </row>
    <row r="165">
      <c r="H165" s="5"/>
      <c r="O165" s="5"/>
      <c r="V165" s="5"/>
      <c r="X165" s="29"/>
      <c r="Y165" s="26"/>
      <c r="Z165" s="26"/>
      <c r="AA165" s="26"/>
      <c r="AB165" s="26"/>
      <c r="AC165" s="26"/>
      <c r="AD165" s="26"/>
    </row>
    <row r="166">
      <c r="H166" s="5"/>
      <c r="O166" s="5"/>
      <c r="V166" s="5"/>
      <c r="X166" s="28"/>
      <c r="Y166" s="26"/>
      <c r="Z166" s="26"/>
      <c r="AA166" s="26"/>
      <c r="AB166" s="26"/>
      <c r="AC166" s="26"/>
      <c r="AD166" s="26"/>
    </row>
    <row r="167">
      <c r="H167" s="5"/>
      <c r="O167" s="5"/>
      <c r="V167" s="5"/>
      <c r="X167" s="29"/>
      <c r="Y167" s="26"/>
      <c r="Z167" s="26"/>
      <c r="AA167" s="26"/>
      <c r="AB167" s="26"/>
      <c r="AC167" s="26"/>
      <c r="AD167" s="26"/>
    </row>
    <row r="168">
      <c r="H168" s="5"/>
      <c r="O168" s="5"/>
      <c r="V168" s="5"/>
      <c r="X168" s="28"/>
      <c r="Y168" s="26"/>
      <c r="Z168" s="26"/>
      <c r="AA168" s="26"/>
      <c r="AB168" s="26"/>
      <c r="AC168" s="26"/>
      <c r="AD168" s="26"/>
    </row>
    <row r="169">
      <c r="H169" s="5"/>
      <c r="O169" s="5"/>
      <c r="V169" s="5"/>
      <c r="X169" s="29"/>
      <c r="Y169" s="26"/>
      <c r="Z169" s="26"/>
      <c r="AA169" s="26"/>
      <c r="AB169" s="26"/>
      <c r="AC169" s="26"/>
      <c r="AD169" s="26"/>
    </row>
    <row r="170">
      <c r="H170" s="5"/>
      <c r="O170" s="5"/>
      <c r="V170" s="5"/>
      <c r="X170" s="28"/>
      <c r="Y170" s="26"/>
      <c r="Z170" s="26"/>
      <c r="AA170" s="26"/>
      <c r="AB170" s="26"/>
      <c r="AC170" s="26"/>
      <c r="AD170" s="26"/>
    </row>
    <row r="171">
      <c r="H171" s="5"/>
      <c r="O171" s="5"/>
      <c r="V171" s="5"/>
      <c r="X171" s="29"/>
      <c r="Y171" s="26"/>
      <c r="Z171" s="26"/>
      <c r="AA171" s="26"/>
      <c r="AB171" s="26"/>
      <c r="AC171" s="26"/>
      <c r="AD171" s="26"/>
    </row>
    <row r="172">
      <c r="H172" s="5"/>
      <c r="O172" s="5"/>
      <c r="V172" s="5"/>
      <c r="X172" s="28"/>
      <c r="Y172" s="26"/>
      <c r="Z172" s="26"/>
      <c r="AA172" s="26"/>
      <c r="AB172" s="26"/>
      <c r="AC172" s="26"/>
      <c r="AD172" s="26"/>
    </row>
    <row r="173">
      <c r="H173" s="5"/>
      <c r="O173" s="5"/>
      <c r="V173" s="5"/>
      <c r="X173" s="29"/>
      <c r="Y173" s="26"/>
      <c r="Z173" s="26"/>
      <c r="AA173" s="26"/>
      <c r="AB173" s="26"/>
      <c r="AC173" s="26"/>
      <c r="AD173" s="26"/>
    </row>
    <row r="174">
      <c r="H174" s="5"/>
      <c r="O174" s="5"/>
      <c r="V174" s="5"/>
      <c r="X174" s="28"/>
      <c r="Y174" s="26"/>
      <c r="Z174" s="26"/>
      <c r="AA174" s="26"/>
      <c r="AB174" s="26"/>
      <c r="AC174" s="26"/>
      <c r="AD174" s="26"/>
    </row>
    <row r="175">
      <c r="H175" s="5"/>
      <c r="O175" s="5"/>
      <c r="V175" s="5"/>
      <c r="X175" s="29"/>
      <c r="Y175" s="26"/>
      <c r="Z175" s="26"/>
      <c r="AA175" s="26"/>
      <c r="AB175" s="26"/>
      <c r="AC175" s="26"/>
      <c r="AD175" s="26"/>
    </row>
    <row r="176">
      <c r="H176" s="5"/>
      <c r="O176" s="5"/>
      <c r="V176" s="5"/>
      <c r="X176" s="28"/>
      <c r="Y176" s="26"/>
      <c r="Z176" s="26"/>
      <c r="AA176" s="26"/>
      <c r="AB176" s="26"/>
      <c r="AC176" s="26"/>
      <c r="AD176" s="26"/>
    </row>
    <row r="177">
      <c r="H177" s="5"/>
      <c r="O177" s="5"/>
      <c r="V177" s="5"/>
      <c r="X177" s="29"/>
      <c r="Y177" s="26"/>
      <c r="Z177" s="26"/>
      <c r="AA177" s="26"/>
      <c r="AB177" s="26"/>
      <c r="AC177" s="26"/>
      <c r="AD177" s="26"/>
    </row>
    <row r="178">
      <c r="H178" s="5"/>
      <c r="O178" s="5"/>
      <c r="V178" s="5"/>
      <c r="X178" s="28"/>
      <c r="Y178" s="26"/>
      <c r="Z178" s="26"/>
      <c r="AA178" s="26"/>
      <c r="AB178" s="26"/>
      <c r="AC178" s="26"/>
      <c r="AD178" s="26"/>
    </row>
    <row r="179">
      <c r="H179" s="5"/>
      <c r="O179" s="5"/>
      <c r="V179" s="5"/>
      <c r="X179" s="29"/>
      <c r="Y179" s="26"/>
      <c r="Z179" s="26"/>
      <c r="AA179" s="26"/>
      <c r="AB179" s="26"/>
      <c r="AC179" s="26"/>
      <c r="AD179" s="26"/>
    </row>
    <row r="180">
      <c r="H180" s="5"/>
      <c r="O180" s="5"/>
      <c r="V180" s="5"/>
      <c r="X180" s="28"/>
      <c r="Y180" s="26"/>
      <c r="Z180" s="26"/>
      <c r="AA180" s="26"/>
      <c r="AB180" s="26"/>
      <c r="AC180" s="26"/>
      <c r="AD180" s="26"/>
    </row>
    <row r="181">
      <c r="H181" s="5"/>
      <c r="O181" s="5"/>
      <c r="V181" s="5"/>
      <c r="X181" s="29"/>
      <c r="Y181" s="26"/>
      <c r="Z181" s="26"/>
      <c r="AA181" s="26"/>
      <c r="AB181" s="26"/>
      <c r="AC181" s="26"/>
      <c r="AD181" s="26"/>
    </row>
    <row r="182">
      <c r="H182" s="5"/>
      <c r="O182" s="5"/>
      <c r="V182" s="5"/>
      <c r="X182" s="28"/>
      <c r="Y182" s="26"/>
      <c r="Z182" s="26"/>
      <c r="AA182" s="26"/>
      <c r="AB182" s="26"/>
      <c r="AC182" s="26"/>
      <c r="AD182" s="26"/>
    </row>
    <row r="183">
      <c r="H183" s="5"/>
      <c r="O183" s="5"/>
      <c r="V183" s="5"/>
      <c r="X183" s="29"/>
      <c r="Y183" s="26"/>
      <c r="Z183" s="26"/>
      <c r="AA183" s="26"/>
      <c r="AB183" s="26"/>
      <c r="AC183" s="26"/>
      <c r="AD183" s="26"/>
    </row>
    <row r="184">
      <c r="H184" s="5"/>
      <c r="O184" s="5"/>
      <c r="V184" s="5"/>
      <c r="X184" s="28"/>
      <c r="Y184" s="26"/>
      <c r="Z184" s="26"/>
      <c r="AA184" s="26"/>
      <c r="AB184" s="26"/>
      <c r="AC184" s="26"/>
      <c r="AD184" s="26"/>
    </row>
    <row r="185">
      <c r="H185" s="5"/>
      <c r="O185" s="5"/>
      <c r="V185" s="5"/>
      <c r="X185" s="29"/>
      <c r="Y185" s="26"/>
      <c r="Z185" s="26"/>
      <c r="AA185" s="26"/>
      <c r="AB185" s="26"/>
      <c r="AC185" s="26"/>
      <c r="AD185" s="26"/>
    </row>
    <row r="186">
      <c r="H186" s="5"/>
      <c r="O186" s="5"/>
      <c r="V186" s="5"/>
      <c r="X186" s="28"/>
      <c r="Y186" s="26"/>
      <c r="Z186" s="26"/>
      <c r="AA186" s="26"/>
      <c r="AB186" s="26"/>
      <c r="AC186" s="26"/>
      <c r="AD186" s="26"/>
    </row>
    <row r="187">
      <c r="H187" s="5"/>
      <c r="O187" s="5"/>
      <c r="V187" s="5"/>
      <c r="X187" s="29"/>
      <c r="Y187" s="26"/>
      <c r="Z187" s="26"/>
      <c r="AA187" s="26"/>
      <c r="AB187" s="26"/>
      <c r="AC187" s="26"/>
      <c r="AD187" s="26"/>
    </row>
    <row r="188">
      <c r="H188" s="5"/>
      <c r="O188" s="5"/>
      <c r="V188" s="5"/>
      <c r="X188" s="28"/>
      <c r="Y188" s="26"/>
      <c r="Z188" s="26"/>
      <c r="AA188" s="26"/>
      <c r="AB188" s="26"/>
      <c r="AC188" s="26"/>
      <c r="AD188" s="26"/>
    </row>
    <row r="189">
      <c r="H189" s="5"/>
      <c r="O189" s="5"/>
      <c r="V189" s="5"/>
      <c r="X189" s="29"/>
      <c r="Y189" s="26"/>
      <c r="Z189" s="26"/>
      <c r="AA189" s="26"/>
      <c r="AB189" s="26"/>
      <c r="AC189" s="26"/>
      <c r="AD189" s="26"/>
    </row>
    <row r="190">
      <c r="H190" s="5"/>
      <c r="O190" s="5"/>
      <c r="V190" s="5"/>
      <c r="X190" s="28"/>
      <c r="Y190" s="26"/>
      <c r="Z190" s="26"/>
      <c r="AA190" s="26"/>
      <c r="AB190" s="26"/>
      <c r="AC190" s="26"/>
      <c r="AD190" s="26"/>
    </row>
    <row r="191">
      <c r="H191" s="5"/>
      <c r="O191" s="5"/>
      <c r="V191" s="5"/>
      <c r="X191" s="29"/>
      <c r="Y191" s="26"/>
      <c r="Z191" s="26"/>
      <c r="AA191" s="26"/>
      <c r="AB191" s="26"/>
      <c r="AC191" s="26"/>
      <c r="AD191" s="26"/>
    </row>
    <row r="192">
      <c r="H192" s="5"/>
      <c r="O192" s="5"/>
      <c r="V192" s="5"/>
      <c r="X192" s="28"/>
      <c r="Y192" s="26"/>
      <c r="Z192" s="26"/>
      <c r="AA192" s="26"/>
      <c r="AB192" s="26"/>
      <c r="AC192" s="26"/>
      <c r="AD192" s="26"/>
    </row>
    <row r="193">
      <c r="H193" s="5"/>
      <c r="O193" s="5"/>
      <c r="V193" s="5"/>
      <c r="X193" s="29"/>
      <c r="Y193" s="26"/>
      <c r="Z193" s="26"/>
      <c r="AA193" s="26"/>
      <c r="AB193" s="26"/>
      <c r="AC193" s="26"/>
      <c r="AD193" s="26"/>
    </row>
    <row r="194">
      <c r="H194" s="5"/>
      <c r="O194" s="5"/>
      <c r="V194" s="5"/>
      <c r="X194" s="28"/>
      <c r="Y194" s="26"/>
      <c r="Z194" s="26"/>
      <c r="AA194" s="26"/>
      <c r="AB194" s="26"/>
      <c r="AC194" s="26"/>
      <c r="AD194" s="26"/>
    </row>
    <row r="195">
      <c r="H195" s="5"/>
      <c r="O195" s="5"/>
      <c r="V195" s="5"/>
      <c r="X195" s="29"/>
      <c r="Y195" s="26"/>
      <c r="Z195" s="26"/>
      <c r="AA195" s="26"/>
      <c r="AB195" s="26"/>
      <c r="AC195" s="26"/>
      <c r="AD195" s="26"/>
    </row>
    <row r="196">
      <c r="H196" s="5"/>
      <c r="O196" s="5"/>
      <c r="V196" s="5"/>
      <c r="X196" s="28"/>
      <c r="Y196" s="26"/>
      <c r="Z196" s="26"/>
      <c r="AA196" s="26"/>
      <c r="AB196" s="26"/>
      <c r="AC196" s="26"/>
      <c r="AD196" s="26"/>
    </row>
    <row r="197">
      <c r="H197" s="5"/>
      <c r="O197" s="5"/>
      <c r="V197" s="5"/>
      <c r="X197" s="29"/>
      <c r="Y197" s="26"/>
      <c r="Z197" s="26"/>
      <c r="AA197" s="26"/>
      <c r="AB197" s="26"/>
      <c r="AC197" s="26"/>
      <c r="AD197" s="26"/>
    </row>
    <row r="198">
      <c r="H198" s="5"/>
      <c r="O198" s="5"/>
      <c r="V198" s="5"/>
      <c r="X198" s="28"/>
      <c r="Y198" s="26"/>
      <c r="Z198" s="26"/>
      <c r="AA198" s="26"/>
      <c r="AB198" s="26"/>
      <c r="AC198" s="26"/>
      <c r="AD198" s="26"/>
    </row>
    <row r="199">
      <c r="H199" s="5"/>
      <c r="O199" s="5"/>
      <c r="V199" s="5"/>
      <c r="X199" s="29"/>
      <c r="Y199" s="26"/>
      <c r="Z199" s="26"/>
      <c r="AA199" s="26"/>
      <c r="AB199" s="26"/>
      <c r="AC199" s="26"/>
      <c r="AD199" s="26"/>
    </row>
    <row r="200">
      <c r="H200" s="5"/>
      <c r="O200" s="5"/>
      <c r="V200" s="5"/>
      <c r="X200" s="28"/>
      <c r="Y200" s="26"/>
      <c r="Z200" s="26"/>
      <c r="AA200" s="26"/>
      <c r="AB200" s="26"/>
      <c r="AC200" s="26"/>
      <c r="AD200" s="26"/>
    </row>
    <row r="201">
      <c r="H201" s="5"/>
      <c r="O201" s="5"/>
      <c r="V201" s="5"/>
      <c r="X201" s="29"/>
      <c r="Y201" s="26"/>
      <c r="Z201" s="26"/>
      <c r="AA201" s="26"/>
      <c r="AB201" s="26"/>
      <c r="AC201" s="26"/>
      <c r="AD201" s="26"/>
    </row>
    <row r="202">
      <c r="H202" s="5"/>
      <c r="O202" s="5"/>
      <c r="V202" s="5"/>
      <c r="X202" s="28"/>
      <c r="Y202" s="26"/>
      <c r="Z202" s="26"/>
      <c r="AA202" s="26"/>
      <c r="AB202" s="26"/>
      <c r="AC202" s="26"/>
      <c r="AD202" s="26"/>
    </row>
    <row r="203">
      <c r="H203" s="5"/>
      <c r="O203" s="5"/>
      <c r="V203" s="5"/>
      <c r="X203" s="29"/>
      <c r="Y203" s="26"/>
      <c r="Z203" s="26"/>
      <c r="AA203" s="26"/>
      <c r="AB203" s="26"/>
      <c r="AC203" s="26"/>
      <c r="AD203" s="26"/>
    </row>
    <row r="204">
      <c r="H204" s="5"/>
      <c r="O204" s="5"/>
      <c r="V204" s="5"/>
      <c r="X204" s="28"/>
      <c r="Y204" s="26"/>
      <c r="Z204" s="26"/>
      <c r="AA204" s="26"/>
      <c r="AB204" s="26"/>
      <c r="AC204" s="26"/>
      <c r="AD204" s="26"/>
    </row>
    <row r="205">
      <c r="H205" s="5"/>
      <c r="O205" s="5"/>
      <c r="V205" s="5"/>
      <c r="X205" s="29"/>
      <c r="Y205" s="26"/>
      <c r="Z205" s="26"/>
      <c r="AA205" s="26"/>
      <c r="AB205" s="26"/>
      <c r="AC205" s="26"/>
      <c r="AD205" s="26"/>
    </row>
    <row r="206">
      <c r="H206" s="5"/>
      <c r="O206" s="5"/>
      <c r="V206" s="5"/>
      <c r="X206" s="28"/>
      <c r="Y206" s="26"/>
      <c r="Z206" s="26"/>
      <c r="AA206" s="26"/>
      <c r="AB206" s="26"/>
      <c r="AC206" s="26"/>
      <c r="AD206" s="26"/>
    </row>
    <row r="207">
      <c r="H207" s="5"/>
      <c r="O207" s="5"/>
      <c r="V207" s="5"/>
      <c r="X207" s="29"/>
      <c r="Y207" s="26"/>
      <c r="Z207" s="26"/>
      <c r="AA207" s="26"/>
      <c r="AB207" s="26"/>
      <c r="AC207" s="26"/>
      <c r="AD207" s="26"/>
    </row>
    <row r="208">
      <c r="H208" s="5"/>
      <c r="O208" s="5"/>
      <c r="V208" s="5"/>
      <c r="X208" s="28"/>
      <c r="Y208" s="26"/>
      <c r="Z208" s="26"/>
      <c r="AA208" s="26"/>
      <c r="AB208" s="26"/>
      <c r="AC208" s="26"/>
      <c r="AD208" s="26"/>
    </row>
    <row r="209">
      <c r="H209" s="5"/>
      <c r="O209" s="5"/>
      <c r="V209" s="5"/>
      <c r="X209" s="29"/>
      <c r="Y209" s="26"/>
      <c r="Z209" s="26"/>
      <c r="AA209" s="26"/>
      <c r="AB209" s="26"/>
      <c r="AC209" s="26"/>
      <c r="AD209" s="26"/>
    </row>
    <row r="210">
      <c r="H210" s="5"/>
      <c r="O210" s="5"/>
      <c r="V210" s="5"/>
      <c r="X210" s="28"/>
      <c r="Y210" s="26"/>
      <c r="Z210" s="26"/>
      <c r="AA210" s="26"/>
      <c r="AB210" s="26"/>
      <c r="AC210" s="26"/>
      <c r="AD210" s="26"/>
    </row>
    <row r="211">
      <c r="H211" s="5"/>
      <c r="O211" s="5"/>
      <c r="V211" s="5"/>
      <c r="X211" s="29"/>
      <c r="Y211" s="26"/>
      <c r="Z211" s="26"/>
      <c r="AA211" s="26"/>
      <c r="AB211" s="26"/>
      <c r="AC211" s="26"/>
      <c r="AD211" s="26"/>
    </row>
    <row r="212">
      <c r="H212" s="5"/>
      <c r="O212" s="5"/>
      <c r="V212" s="5"/>
      <c r="X212" s="28"/>
      <c r="Y212" s="26"/>
      <c r="Z212" s="26"/>
      <c r="AA212" s="26"/>
      <c r="AB212" s="26"/>
      <c r="AC212" s="26"/>
      <c r="AD212" s="26"/>
    </row>
    <row r="213">
      <c r="H213" s="5"/>
      <c r="O213" s="5"/>
      <c r="V213" s="5"/>
      <c r="X213" s="29"/>
      <c r="Y213" s="26"/>
      <c r="Z213" s="26"/>
      <c r="AA213" s="26"/>
      <c r="AB213" s="26"/>
      <c r="AC213" s="26"/>
      <c r="AD213" s="26"/>
    </row>
    <row r="214">
      <c r="H214" s="5"/>
      <c r="O214" s="5"/>
      <c r="V214" s="5"/>
      <c r="X214" s="28"/>
      <c r="Y214" s="26"/>
      <c r="Z214" s="26"/>
      <c r="AA214" s="26"/>
      <c r="AB214" s="26"/>
      <c r="AC214" s="26"/>
      <c r="AD214" s="26"/>
    </row>
    <row r="215">
      <c r="H215" s="5"/>
      <c r="O215" s="5"/>
      <c r="V215" s="5"/>
      <c r="X215" s="29"/>
      <c r="Y215" s="26"/>
      <c r="Z215" s="26"/>
      <c r="AA215" s="26"/>
      <c r="AB215" s="26"/>
      <c r="AC215" s="26"/>
      <c r="AD215" s="26"/>
    </row>
    <row r="216">
      <c r="H216" s="5"/>
      <c r="O216" s="5"/>
      <c r="V216" s="5"/>
      <c r="X216" s="28"/>
      <c r="Y216" s="26"/>
      <c r="Z216" s="26"/>
      <c r="AA216" s="26"/>
      <c r="AB216" s="26"/>
      <c r="AC216" s="26"/>
      <c r="AD216" s="26"/>
    </row>
    <row r="217">
      <c r="H217" s="5"/>
      <c r="O217" s="5"/>
      <c r="V217" s="5"/>
      <c r="X217" s="29"/>
      <c r="Y217" s="26"/>
      <c r="Z217" s="26"/>
      <c r="AA217" s="26"/>
      <c r="AB217" s="26"/>
      <c r="AC217" s="26"/>
      <c r="AD217" s="26"/>
    </row>
    <row r="218">
      <c r="H218" s="5"/>
      <c r="O218" s="5"/>
      <c r="V218" s="5"/>
      <c r="X218" s="28"/>
      <c r="Y218" s="26"/>
      <c r="Z218" s="26"/>
      <c r="AA218" s="26"/>
      <c r="AB218" s="26"/>
      <c r="AC218" s="26"/>
      <c r="AD218" s="26"/>
    </row>
    <row r="219">
      <c r="H219" s="5"/>
      <c r="O219" s="5"/>
      <c r="V219" s="5"/>
      <c r="X219" s="29"/>
      <c r="Y219" s="26"/>
      <c r="Z219" s="26"/>
      <c r="AA219" s="26"/>
      <c r="AB219" s="26"/>
      <c r="AC219" s="26"/>
      <c r="AD219" s="26"/>
    </row>
    <row r="220">
      <c r="H220" s="5"/>
      <c r="O220" s="5"/>
      <c r="V220" s="5"/>
      <c r="X220" s="28"/>
      <c r="Y220" s="26"/>
      <c r="Z220" s="26"/>
      <c r="AA220" s="26"/>
      <c r="AB220" s="26"/>
      <c r="AC220" s="26"/>
      <c r="AD220" s="26"/>
    </row>
    <row r="221">
      <c r="H221" s="5"/>
      <c r="O221" s="5"/>
      <c r="V221" s="5"/>
      <c r="X221" s="29"/>
      <c r="Y221" s="26"/>
      <c r="Z221" s="26"/>
      <c r="AA221" s="26"/>
      <c r="AB221" s="26"/>
      <c r="AC221" s="26"/>
      <c r="AD221" s="26"/>
    </row>
    <row r="222">
      <c r="H222" s="5"/>
      <c r="O222" s="5"/>
      <c r="V222" s="5"/>
      <c r="X222" s="28"/>
      <c r="Y222" s="26"/>
      <c r="Z222" s="26"/>
      <c r="AA222" s="26"/>
      <c r="AB222" s="26"/>
      <c r="AC222" s="26"/>
      <c r="AD222" s="26"/>
    </row>
    <row r="223">
      <c r="H223" s="5"/>
      <c r="O223" s="5"/>
      <c r="V223" s="5"/>
      <c r="X223" s="29"/>
      <c r="Y223" s="26"/>
      <c r="Z223" s="26"/>
      <c r="AA223" s="26"/>
      <c r="AB223" s="26"/>
      <c r="AC223" s="26"/>
      <c r="AD223" s="26"/>
    </row>
    <row r="224">
      <c r="H224" s="5"/>
      <c r="O224" s="5"/>
      <c r="V224" s="5"/>
      <c r="X224" s="28"/>
      <c r="Y224" s="26"/>
      <c r="Z224" s="26"/>
      <c r="AA224" s="26"/>
      <c r="AB224" s="26"/>
      <c r="AC224" s="26"/>
      <c r="AD224" s="26"/>
    </row>
    <row r="225">
      <c r="H225" s="5"/>
      <c r="O225" s="5"/>
      <c r="V225" s="5"/>
      <c r="X225" s="29"/>
      <c r="Y225" s="26"/>
      <c r="Z225" s="26"/>
      <c r="AA225" s="26"/>
      <c r="AB225" s="26"/>
      <c r="AC225" s="26"/>
      <c r="AD225" s="26"/>
    </row>
    <row r="226">
      <c r="H226" s="5"/>
      <c r="O226" s="5"/>
      <c r="V226" s="5"/>
      <c r="X226" s="28"/>
      <c r="Y226" s="26"/>
      <c r="Z226" s="26"/>
      <c r="AA226" s="26"/>
      <c r="AB226" s="26"/>
      <c r="AC226" s="26"/>
      <c r="AD226" s="26"/>
    </row>
    <row r="227">
      <c r="H227" s="5"/>
      <c r="O227" s="5"/>
      <c r="V227" s="5"/>
      <c r="X227" s="29"/>
      <c r="Y227" s="26"/>
      <c r="Z227" s="26"/>
      <c r="AA227" s="26"/>
      <c r="AB227" s="26"/>
      <c r="AC227" s="26"/>
      <c r="AD227" s="26"/>
    </row>
    <row r="228">
      <c r="H228" s="5"/>
      <c r="O228" s="5"/>
      <c r="V228" s="5"/>
      <c r="X228" s="28"/>
      <c r="Y228" s="26"/>
      <c r="Z228" s="26"/>
      <c r="AA228" s="26"/>
      <c r="AB228" s="26"/>
      <c r="AC228" s="26"/>
      <c r="AD228" s="26"/>
    </row>
    <row r="229">
      <c r="H229" s="5"/>
      <c r="O229" s="5"/>
      <c r="V229" s="5"/>
      <c r="X229" s="29"/>
      <c r="Y229" s="26"/>
      <c r="Z229" s="26"/>
      <c r="AA229" s="26"/>
      <c r="AB229" s="26"/>
      <c r="AC229" s="26"/>
      <c r="AD229" s="26"/>
    </row>
    <row r="230">
      <c r="H230" s="5"/>
      <c r="O230" s="5"/>
      <c r="V230" s="5"/>
      <c r="X230" s="28"/>
      <c r="Y230" s="26"/>
      <c r="Z230" s="26"/>
      <c r="AA230" s="26"/>
      <c r="AB230" s="26"/>
      <c r="AC230" s="26"/>
      <c r="AD230" s="26"/>
    </row>
    <row r="231">
      <c r="H231" s="5"/>
      <c r="O231" s="5"/>
      <c r="V231" s="5"/>
      <c r="X231" s="29"/>
      <c r="Y231" s="26"/>
      <c r="Z231" s="26"/>
      <c r="AA231" s="26"/>
      <c r="AB231" s="26"/>
      <c r="AC231" s="26"/>
      <c r="AD231" s="26"/>
    </row>
    <row r="232">
      <c r="H232" s="5"/>
      <c r="O232" s="5"/>
      <c r="V232" s="5"/>
      <c r="X232" s="28"/>
      <c r="Y232" s="26"/>
      <c r="Z232" s="26"/>
      <c r="AA232" s="26"/>
      <c r="AB232" s="26"/>
      <c r="AC232" s="26"/>
      <c r="AD232" s="26"/>
    </row>
    <row r="233">
      <c r="H233" s="5"/>
      <c r="O233" s="5"/>
      <c r="V233" s="5"/>
      <c r="X233" s="29"/>
      <c r="Y233" s="26"/>
      <c r="Z233" s="26"/>
      <c r="AA233" s="26"/>
      <c r="AB233" s="26"/>
      <c r="AC233" s="26"/>
      <c r="AD233" s="26"/>
    </row>
    <row r="234">
      <c r="H234" s="5"/>
      <c r="O234" s="5"/>
      <c r="V234" s="5"/>
      <c r="X234" s="28"/>
      <c r="Y234" s="26"/>
      <c r="Z234" s="26"/>
      <c r="AA234" s="26"/>
      <c r="AB234" s="26"/>
      <c r="AC234" s="26"/>
      <c r="AD234" s="26"/>
    </row>
    <row r="235">
      <c r="H235" s="5"/>
      <c r="O235" s="5"/>
      <c r="V235" s="5"/>
      <c r="X235" s="29"/>
      <c r="Y235" s="26"/>
      <c r="Z235" s="26"/>
      <c r="AA235" s="26"/>
      <c r="AB235" s="26"/>
      <c r="AC235" s="26"/>
      <c r="AD235" s="26"/>
    </row>
    <row r="236">
      <c r="H236" s="5"/>
      <c r="O236" s="5"/>
      <c r="V236" s="5"/>
      <c r="X236" s="28"/>
      <c r="Y236" s="26"/>
      <c r="Z236" s="26"/>
      <c r="AA236" s="26"/>
      <c r="AB236" s="26"/>
      <c r="AC236" s="26"/>
      <c r="AD236" s="26"/>
    </row>
    <row r="237">
      <c r="H237" s="5"/>
      <c r="O237" s="5"/>
      <c r="V237" s="5"/>
      <c r="X237" s="29"/>
      <c r="Y237" s="26"/>
      <c r="Z237" s="26"/>
      <c r="AA237" s="26"/>
      <c r="AB237" s="26"/>
      <c r="AC237" s="26"/>
      <c r="AD237" s="26"/>
    </row>
    <row r="238">
      <c r="H238" s="5"/>
      <c r="O238" s="5"/>
      <c r="V238" s="5"/>
      <c r="X238" s="28"/>
      <c r="Y238" s="26"/>
      <c r="Z238" s="26"/>
      <c r="AA238" s="26"/>
      <c r="AB238" s="26"/>
      <c r="AC238" s="26"/>
      <c r="AD238" s="26"/>
    </row>
    <row r="239">
      <c r="H239" s="5"/>
      <c r="O239" s="5"/>
      <c r="V239" s="5"/>
      <c r="X239" s="29"/>
      <c r="Y239" s="26"/>
      <c r="Z239" s="26"/>
      <c r="AA239" s="26"/>
      <c r="AB239" s="26"/>
      <c r="AC239" s="26"/>
      <c r="AD239" s="26"/>
    </row>
    <row r="240">
      <c r="H240" s="5"/>
      <c r="O240" s="5"/>
      <c r="V240" s="5"/>
      <c r="X240" s="28"/>
      <c r="Y240" s="26"/>
      <c r="Z240" s="26"/>
      <c r="AA240" s="26"/>
      <c r="AB240" s="26"/>
      <c r="AC240" s="26"/>
      <c r="AD240" s="26"/>
    </row>
    <row r="241">
      <c r="H241" s="5"/>
      <c r="O241" s="5"/>
      <c r="V241" s="5"/>
      <c r="X241" s="29"/>
      <c r="Y241" s="26"/>
      <c r="Z241" s="26"/>
      <c r="AA241" s="26"/>
      <c r="AB241" s="26"/>
      <c r="AC241" s="26"/>
      <c r="AD241" s="26"/>
    </row>
    <row r="242">
      <c r="H242" s="5"/>
      <c r="O242" s="5"/>
      <c r="V242" s="5"/>
      <c r="X242" s="28"/>
      <c r="Y242" s="26"/>
      <c r="Z242" s="26"/>
      <c r="AA242" s="26"/>
      <c r="AB242" s="26"/>
      <c r="AC242" s="26"/>
      <c r="AD242" s="26"/>
    </row>
    <row r="243">
      <c r="H243" s="5"/>
      <c r="O243" s="5"/>
      <c r="V243" s="5"/>
      <c r="X243" s="29"/>
      <c r="Y243" s="26"/>
      <c r="Z243" s="26"/>
      <c r="AA243" s="26"/>
      <c r="AB243" s="26"/>
      <c r="AC243" s="26"/>
      <c r="AD243" s="26"/>
    </row>
    <row r="244">
      <c r="H244" s="5"/>
      <c r="O244" s="5"/>
      <c r="V244" s="5"/>
      <c r="X244" s="28"/>
      <c r="Y244" s="26"/>
      <c r="Z244" s="26"/>
      <c r="AA244" s="26"/>
      <c r="AB244" s="26"/>
      <c r="AC244" s="26"/>
      <c r="AD244" s="26"/>
    </row>
    <row r="245">
      <c r="H245" s="5"/>
      <c r="O245" s="5"/>
      <c r="V245" s="5"/>
      <c r="X245" s="29"/>
      <c r="Y245" s="26"/>
      <c r="Z245" s="26"/>
      <c r="AA245" s="26"/>
      <c r="AB245" s="26"/>
      <c r="AC245" s="26"/>
      <c r="AD245" s="26"/>
    </row>
    <row r="246">
      <c r="H246" s="5"/>
      <c r="O246" s="5"/>
      <c r="V246" s="5"/>
      <c r="X246" s="28"/>
      <c r="Y246" s="26"/>
      <c r="Z246" s="26"/>
      <c r="AA246" s="26"/>
      <c r="AB246" s="26"/>
      <c r="AC246" s="26"/>
      <c r="AD246" s="26"/>
    </row>
    <row r="247">
      <c r="H247" s="5"/>
      <c r="O247" s="5"/>
      <c r="V247" s="5"/>
      <c r="X247" s="29"/>
      <c r="Y247" s="26"/>
      <c r="Z247" s="26"/>
      <c r="AA247" s="26"/>
      <c r="AB247" s="26"/>
      <c r="AC247" s="26"/>
      <c r="AD247" s="26"/>
    </row>
    <row r="248">
      <c r="H248" s="5"/>
      <c r="O248" s="5"/>
      <c r="V248" s="5"/>
      <c r="X248" s="28"/>
      <c r="Y248" s="26"/>
      <c r="Z248" s="26"/>
      <c r="AA248" s="26"/>
      <c r="AB248" s="26"/>
      <c r="AC248" s="26"/>
      <c r="AD248" s="26"/>
    </row>
    <row r="249">
      <c r="H249" s="5"/>
      <c r="O249" s="5"/>
      <c r="V249" s="5"/>
      <c r="X249" s="29"/>
      <c r="Y249" s="26"/>
      <c r="Z249" s="26"/>
      <c r="AA249" s="26"/>
      <c r="AB249" s="26"/>
      <c r="AC249" s="26"/>
      <c r="AD249" s="26"/>
    </row>
    <row r="250">
      <c r="H250" s="5"/>
      <c r="O250" s="5"/>
      <c r="V250" s="5"/>
      <c r="X250" s="28"/>
      <c r="Y250" s="26"/>
      <c r="Z250" s="26"/>
      <c r="AA250" s="26"/>
      <c r="AB250" s="26"/>
      <c r="AC250" s="26"/>
      <c r="AD250" s="26"/>
    </row>
    <row r="251">
      <c r="H251" s="5"/>
      <c r="O251" s="5"/>
      <c r="V251" s="5"/>
      <c r="X251" s="29"/>
      <c r="Y251" s="26"/>
      <c r="Z251" s="26"/>
      <c r="AA251" s="26"/>
      <c r="AB251" s="26"/>
      <c r="AC251" s="26"/>
      <c r="AD251" s="26"/>
    </row>
    <row r="252">
      <c r="H252" s="5"/>
      <c r="O252" s="5"/>
      <c r="V252" s="5"/>
      <c r="X252" s="28"/>
      <c r="Y252" s="26"/>
      <c r="Z252" s="26"/>
      <c r="AA252" s="26"/>
      <c r="AB252" s="26"/>
      <c r="AC252" s="26"/>
      <c r="AD252" s="26"/>
    </row>
    <row r="253">
      <c r="H253" s="5"/>
      <c r="O253" s="5"/>
      <c r="V253" s="5"/>
      <c r="X253" s="29"/>
      <c r="Y253" s="26"/>
      <c r="Z253" s="26"/>
      <c r="AA253" s="26"/>
      <c r="AB253" s="26"/>
      <c r="AC253" s="26"/>
      <c r="AD253" s="26"/>
    </row>
    <row r="254">
      <c r="H254" s="5"/>
      <c r="O254" s="5"/>
      <c r="V254" s="5"/>
      <c r="X254" s="28"/>
      <c r="Y254" s="26"/>
      <c r="Z254" s="26"/>
      <c r="AA254" s="26"/>
      <c r="AB254" s="26"/>
      <c r="AC254" s="26"/>
      <c r="AD254" s="26"/>
    </row>
    <row r="255">
      <c r="H255" s="5"/>
      <c r="O255" s="5"/>
      <c r="V255" s="5"/>
      <c r="X255" s="29"/>
      <c r="Y255" s="26"/>
      <c r="Z255" s="26"/>
      <c r="AA255" s="26"/>
      <c r="AB255" s="26"/>
      <c r="AC255" s="26"/>
      <c r="AD255" s="26"/>
    </row>
    <row r="256">
      <c r="H256" s="5"/>
      <c r="O256" s="5"/>
      <c r="V256" s="5"/>
      <c r="X256" s="28"/>
      <c r="Y256" s="26"/>
      <c r="Z256" s="26"/>
      <c r="AA256" s="26"/>
      <c r="AB256" s="26"/>
      <c r="AC256" s="26"/>
      <c r="AD256" s="26"/>
    </row>
    <row r="257">
      <c r="H257" s="5"/>
      <c r="O257" s="5"/>
      <c r="V257" s="5"/>
      <c r="X257" s="29"/>
      <c r="Y257" s="26"/>
      <c r="Z257" s="26"/>
      <c r="AA257" s="26"/>
      <c r="AB257" s="26"/>
      <c r="AC257" s="26"/>
      <c r="AD257" s="26"/>
    </row>
    <row r="258">
      <c r="H258" s="5"/>
      <c r="O258" s="5"/>
      <c r="V258" s="5"/>
      <c r="X258" s="28"/>
      <c r="Y258" s="26"/>
      <c r="Z258" s="26"/>
      <c r="AA258" s="26"/>
      <c r="AB258" s="26"/>
      <c r="AC258" s="26"/>
      <c r="AD258" s="26"/>
    </row>
    <row r="259">
      <c r="H259" s="5"/>
      <c r="O259" s="5"/>
      <c r="V259" s="5"/>
      <c r="X259" s="29"/>
      <c r="Y259" s="26"/>
      <c r="Z259" s="26"/>
      <c r="AA259" s="26"/>
      <c r="AB259" s="26"/>
      <c r="AC259" s="26"/>
      <c r="AD259" s="26"/>
    </row>
    <row r="260">
      <c r="H260" s="5"/>
      <c r="O260" s="5"/>
      <c r="V260" s="5"/>
      <c r="X260" s="28"/>
      <c r="Y260" s="26"/>
      <c r="Z260" s="26"/>
      <c r="AA260" s="26"/>
      <c r="AB260" s="26"/>
      <c r="AC260" s="26"/>
      <c r="AD260" s="26"/>
    </row>
    <row r="261">
      <c r="H261" s="5"/>
      <c r="O261" s="5"/>
      <c r="V261" s="5"/>
      <c r="X261" s="29"/>
      <c r="Y261" s="26"/>
      <c r="Z261" s="26"/>
      <c r="AA261" s="26"/>
      <c r="AB261" s="26"/>
      <c r="AC261" s="26"/>
      <c r="AD261" s="26"/>
    </row>
    <row r="262">
      <c r="H262" s="5"/>
      <c r="O262" s="5"/>
      <c r="V262" s="5"/>
      <c r="X262" s="28"/>
      <c r="Y262" s="26"/>
      <c r="Z262" s="26"/>
      <c r="AA262" s="26"/>
      <c r="AB262" s="26"/>
      <c r="AC262" s="26"/>
      <c r="AD262" s="26"/>
    </row>
    <row r="263">
      <c r="H263" s="5"/>
      <c r="O263" s="5"/>
      <c r="V263" s="5"/>
      <c r="X263" s="29"/>
      <c r="Y263" s="26"/>
      <c r="Z263" s="26"/>
      <c r="AA263" s="26"/>
      <c r="AB263" s="26"/>
      <c r="AC263" s="26"/>
      <c r="AD263" s="26"/>
    </row>
    <row r="264">
      <c r="H264" s="5"/>
      <c r="O264" s="5"/>
      <c r="V264" s="5"/>
      <c r="X264" s="28"/>
      <c r="Y264" s="26"/>
      <c r="Z264" s="26"/>
      <c r="AA264" s="26"/>
      <c r="AB264" s="26"/>
      <c r="AC264" s="26"/>
      <c r="AD264" s="26"/>
    </row>
    <row r="265">
      <c r="H265" s="5"/>
      <c r="O265" s="5"/>
      <c r="V265" s="5"/>
      <c r="X265" s="29"/>
      <c r="Y265" s="26"/>
      <c r="Z265" s="26"/>
      <c r="AA265" s="26"/>
      <c r="AB265" s="26"/>
      <c r="AC265" s="26"/>
      <c r="AD265" s="26"/>
    </row>
    <row r="266">
      <c r="H266" s="5"/>
      <c r="O266" s="5"/>
      <c r="V266" s="5"/>
      <c r="X266" s="28"/>
      <c r="Y266" s="26"/>
      <c r="Z266" s="26"/>
      <c r="AA266" s="26"/>
      <c r="AB266" s="26"/>
      <c r="AC266" s="26"/>
      <c r="AD266" s="26"/>
    </row>
    <row r="267">
      <c r="H267" s="5"/>
      <c r="O267" s="5"/>
      <c r="V267" s="5"/>
      <c r="X267" s="29"/>
      <c r="Y267" s="26"/>
      <c r="Z267" s="26"/>
      <c r="AA267" s="26"/>
      <c r="AB267" s="26"/>
      <c r="AC267" s="26"/>
      <c r="AD267" s="26"/>
    </row>
    <row r="268">
      <c r="H268" s="5"/>
      <c r="O268" s="5"/>
      <c r="V268" s="5"/>
      <c r="X268" s="28"/>
      <c r="Y268" s="26"/>
      <c r="Z268" s="26"/>
      <c r="AA268" s="26"/>
      <c r="AB268" s="26"/>
      <c r="AC268" s="26"/>
      <c r="AD268" s="26"/>
    </row>
    <row r="269">
      <c r="H269" s="5"/>
      <c r="O269" s="5"/>
      <c r="V269" s="5"/>
      <c r="X269" s="29"/>
      <c r="Y269" s="26"/>
      <c r="Z269" s="26"/>
      <c r="AA269" s="26"/>
      <c r="AB269" s="26"/>
      <c r="AC269" s="26"/>
      <c r="AD269" s="26"/>
    </row>
    <row r="270">
      <c r="H270" s="5"/>
      <c r="O270" s="5"/>
      <c r="V270" s="5"/>
      <c r="X270" s="28"/>
      <c r="Y270" s="26"/>
      <c r="Z270" s="26"/>
      <c r="AA270" s="26"/>
      <c r="AB270" s="26"/>
      <c r="AC270" s="26"/>
      <c r="AD270" s="26"/>
    </row>
    <row r="271">
      <c r="H271" s="5"/>
      <c r="O271" s="5"/>
      <c r="V271" s="5"/>
      <c r="X271" s="29"/>
      <c r="Y271" s="26"/>
      <c r="Z271" s="26"/>
      <c r="AA271" s="26"/>
      <c r="AB271" s="26"/>
      <c r="AC271" s="26"/>
      <c r="AD271" s="26"/>
    </row>
    <row r="272">
      <c r="H272" s="5"/>
      <c r="O272" s="5"/>
      <c r="V272" s="5"/>
      <c r="X272" s="28"/>
      <c r="Y272" s="26"/>
      <c r="Z272" s="26"/>
      <c r="AA272" s="26"/>
      <c r="AB272" s="26"/>
      <c r="AC272" s="26"/>
      <c r="AD272" s="26"/>
    </row>
    <row r="273">
      <c r="H273" s="5"/>
      <c r="O273" s="5"/>
      <c r="V273" s="5"/>
      <c r="X273" s="29"/>
      <c r="Y273" s="26"/>
      <c r="Z273" s="26"/>
      <c r="AA273" s="26"/>
      <c r="AB273" s="26"/>
      <c r="AC273" s="26"/>
      <c r="AD273" s="26"/>
    </row>
    <row r="274">
      <c r="H274" s="5"/>
      <c r="O274" s="5"/>
      <c r="V274" s="5"/>
      <c r="X274" s="28"/>
      <c r="Y274" s="26"/>
      <c r="Z274" s="26"/>
      <c r="AA274" s="26"/>
      <c r="AB274" s="26"/>
      <c r="AC274" s="26"/>
      <c r="AD274" s="26"/>
    </row>
    <row r="275">
      <c r="H275" s="5"/>
      <c r="O275" s="5"/>
      <c r="V275" s="5"/>
      <c r="X275" s="29"/>
      <c r="Y275" s="26"/>
      <c r="Z275" s="26"/>
      <c r="AA275" s="26"/>
      <c r="AB275" s="26"/>
      <c r="AC275" s="26"/>
      <c r="AD275" s="26"/>
    </row>
    <row r="276">
      <c r="H276" s="5"/>
      <c r="O276" s="5"/>
      <c r="V276" s="5"/>
      <c r="X276" s="28"/>
      <c r="Y276" s="26"/>
      <c r="Z276" s="26"/>
      <c r="AA276" s="26"/>
      <c r="AB276" s="26"/>
      <c r="AC276" s="26"/>
      <c r="AD276" s="26"/>
    </row>
    <row r="277">
      <c r="H277" s="5"/>
      <c r="O277" s="5"/>
      <c r="V277" s="5"/>
      <c r="X277" s="29"/>
      <c r="Y277" s="26"/>
      <c r="Z277" s="26"/>
      <c r="AA277" s="26"/>
      <c r="AB277" s="26"/>
      <c r="AC277" s="26"/>
      <c r="AD277" s="26"/>
    </row>
    <row r="278">
      <c r="H278" s="5"/>
      <c r="O278" s="5"/>
      <c r="V278" s="5"/>
      <c r="X278" s="28"/>
      <c r="Y278" s="26"/>
      <c r="Z278" s="26"/>
      <c r="AA278" s="26"/>
      <c r="AB278" s="26"/>
      <c r="AC278" s="26"/>
      <c r="AD278" s="26"/>
    </row>
    <row r="279">
      <c r="H279" s="5"/>
      <c r="O279" s="5"/>
      <c r="V279" s="5"/>
      <c r="X279" s="29"/>
      <c r="Y279" s="26"/>
      <c r="Z279" s="26"/>
      <c r="AA279" s="26"/>
      <c r="AB279" s="26"/>
      <c r="AC279" s="26"/>
      <c r="AD279" s="26"/>
    </row>
    <row r="280">
      <c r="H280" s="5"/>
      <c r="O280" s="5"/>
      <c r="V280" s="5"/>
      <c r="X280" s="28"/>
      <c r="Y280" s="26"/>
      <c r="Z280" s="26"/>
      <c r="AA280" s="26"/>
      <c r="AB280" s="26"/>
      <c r="AC280" s="26"/>
      <c r="AD280" s="26"/>
    </row>
    <row r="281">
      <c r="H281" s="5"/>
      <c r="O281" s="5"/>
      <c r="V281" s="5"/>
      <c r="X281" s="29"/>
      <c r="Y281" s="26"/>
      <c r="Z281" s="26"/>
      <c r="AA281" s="26"/>
      <c r="AB281" s="26"/>
      <c r="AC281" s="26"/>
      <c r="AD281" s="26"/>
    </row>
    <row r="282">
      <c r="H282" s="5"/>
      <c r="O282" s="5"/>
      <c r="V282" s="5"/>
      <c r="X282" s="28"/>
      <c r="Y282" s="26"/>
      <c r="Z282" s="26"/>
      <c r="AA282" s="26"/>
      <c r="AB282" s="26"/>
      <c r="AC282" s="26"/>
      <c r="AD282" s="26"/>
    </row>
    <row r="283">
      <c r="H283" s="5"/>
      <c r="O283" s="5"/>
      <c r="V283" s="5"/>
      <c r="X283" s="29"/>
      <c r="Y283" s="26"/>
      <c r="Z283" s="26"/>
      <c r="AA283" s="26"/>
      <c r="AB283" s="26"/>
      <c r="AC283" s="26"/>
      <c r="AD283" s="26"/>
    </row>
    <row r="284">
      <c r="H284" s="5"/>
      <c r="O284" s="5"/>
      <c r="V284" s="5"/>
      <c r="X284" s="28"/>
      <c r="Y284" s="26"/>
      <c r="Z284" s="26"/>
      <c r="AA284" s="26"/>
      <c r="AB284" s="26"/>
      <c r="AC284" s="26"/>
      <c r="AD284" s="26"/>
    </row>
    <row r="285">
      <c r="H285" s="5"/>
      <c r="O285" s="5"/>
      <c r="V285" s="5"/>
      <c r="X285" s="29"/>
      <c r="Y285" s="26"/>
      <c r="Z285" s="26"/>
      <c r="AA285" s="26"/>
      <c r="AB285" s="26"/>
      <c r="AC285" s="26"/>
      <c r="AD285" s="26"/>
    </row>
    <row r="286">
      <c r="H286" s="5"/>
      <c r="O286" s="5"/>
      <c r="V286" s="5"/>
      <c r="X286" s="28"/>
      <c r="Y286" s="26"/>
      <c r="Z286" s="26"/>
      <c r="AA286" s="26"/>
      <c r="AB286" s="26"/>
      <c r="AC286" s="26"/>
      <c r="AD286" s="26"/>
    </row>
    <row r="287">
      <c r="H287" s="5"/>
      <c r="O287" s="5"/>
      <c r="V287" s="5"/>
      <c r="X287" s="29"/>
      <c r="Y287" s="26"/>
      <c r="Z287" s="26"/>
      <c r="AA287" s="26"/>
      <c r="AB287" s="26"/>
      <c r="AC287" s="26"/>
      <c r="AD287" s="26"/>
    </row>
    <row r="288">
      <c r="H288" s="5"/>
      <c r="O288" s="5"/>
      <c r="V288" s="5"/>
      <c r="X288" s="28"/>
      <c r="Y288" s="26"/>
      <c r="Z288" s="26"/>
      <c r="AA288" s="26"/>
      <c r="AB288" s="26"/>
      <c r="AC288" s="26"/>
      <c r="AD288" s="26"/>
    </row>
    <row r="289">
      <c r="H289" s="5"/>
      <c r="O289" s="5"/>
      <c r="V289" s="5"/>
      <c r="X289" s="29"/>
      <c r="Y289" s="26"/>
      <c r="Z289" s="26"/>
      <c r="AA289" s="26"/>
      <c r="AB289" s="26"/>
      <c r="AC289" s="26"/>
      <c r="AD289" s="26"/>
    </row>
    <row r="290">
      <c r="H290" s="5"/>
      <c r="O290" s="5"/>
      <c r="V290" s="5"/>
      <c r="X290" s="28"/>
      <c r="Y290" s="26"/>
      <c r="Z290" s="26"/>
      <c r="AA290" s="26"/>
      <c r="AB290" s="26"/>
      <c r="AC290" s="26"/>
      <c r="AD290" s="26"/>
    </row>
    <row r="291">
      <c r="H291" s="5"/>
      <c r="O291" s="5"/>
      <c r="V291" s="5"/>
      <c r="X291" s="29"/>
      <c r="Y291" s="26"/>
      <c r="Z291" s="26"/>
      <c r="AA291" s="26"/>
      <c r="AB291" s="26"/>
      <c r="AC291" s="26"/>
      <c r="AD291" s="26"/>
    </row>
    <row r="292">
      <c r="H292" s="5"/>
      <c r="O292" s="5"/>
      <c r="V292" s="5"/>
      <c r="X292" s="28"/>
      <c r="Y292" s="26"/>
      <c r="Z292" s="26"/>
      <c r="AA292" s="26"/>
      <c r="AB292" s="26"/>
      <c r="AC292" s="26"/>
      <c r="AD292" s="26"/>
    </row>
    <row r="293">
      <c r="H293" s="5"/>
      <c r="O293" s="5"/>
      <c r="V293" s="5"/>
      <c r="X293" s="29"/>
      <c r="Y293" s="26"/>
      <c r="Z293" s="26"/>
      <c r="AA293" s="26"/>
      <c r="AB293" s="26"/>
      <c r="AC293" s="26"/>
      <c r="AD293" s="26"/>
    </row>
    <row r="294">
      <c r="H294" s="5"/>
      <c r="O294" s="5"/>
      <c r="V294" s="5"/>
      <c r="X294" s="28"/>
      <c r="Y294" s="26"/>
      <c r="Z294" s="26"/>
      <c r="AA294" s="26"/>
      <c r="AB294" s="26"/>
      <c r="AC294" s="26"/>
      <c r="AD294" s="26"/>
    </row>
    <row r="295">
      <c r="H295" s="5"/>
      <c r="O295" s="5"/>
      <c r="V295" s="5"/>
      <c r="X295" s="29"/>
      <c r="Y295" s="26"/>
      <c r="Z295" s="26"/>
      <c r="AA295" s="26"/>
      <c r="AB295" s="26"/>
      <c r="AC295" s="26"/>
      <c r="AD295" s="26"/>
    </row>
    <row r="296">
      <c r="H296" s="5"/>
      <c r="O296" s="5"/>
      <c r="V296" s="5"/>
      <c r="X296" s="28"/>
      <c r="Y296" s="26"/>
      <c r="Z296" s="26"/>
      <c r="AA296" s="26"/>
      <c r="AB296" s="26"/>
      <c r="AC296" s="26"/>
      <c r="AD296" s="26"/>
    </row>
    <row r="297">
      <c r="H297" s="5"/>
      <c r="O297" s="5"/>
      <c r="V297" s="5"/>
      <c r="X297" s="29"/>
      <c r="Y297" s="26"/>
      <c r="Z297" s="26"/>
      <c r="AA297" s="26"/>
      <c r="AB297" s="26"/>
      <c r="AC297" s="26"/>
      <c r="AD297" s="26"/>
    </row>
    <row r="298">
      <c r="H298" s="5"/>
      <c r="O298" s="5"/>
      <c r="V298" s="5"/>
      <c r="X298" s="28"/>
      <c r="Y298" s="26"/>
      <c r="Z298" s="26"/>
      <c r="AA298" s="26"/>
      <c r="AB298" s="26"/>
      <c r="AC298" s="26"/>
      <c r="AD298" s="26"/>
    </row>
    <row r="299">
      <c r="H299" s="5"/>
      <c r="O299" s="5"/>
      <c r="V299" s="5"/>
      <c r="X299" s="29"/>
      <c r="Y299" s="26"/>
      <c r="Z299" s="26"/>
      <c r="AA299" s="26"/>
      <c r="AB299" s="26"/>
      <c r="AC299" s="26"/>
      <c r="AD299" s="26"/>
    </row>
    <row r="300">
      <c r="H300" s="5"/>
      <c r="O300" s="5"/>
      <c r="V300" s="5"/>
      <c r="X300" s="28"/>
      <c r="Y300" s="26"/>
      <c r="Z300" s="26"/>
      <c r="AA300" s="26"/>
      <c r="AB300" s="26"/>
      <c r="AC300" s="26"/>
      <c r="AD300" s="26"/>
    </row>
    <row r="301">
      <c r="H301" s="5"/>
      <c r="O301" s="5"/>
      <c r="V301" s="5"/>
      <c r="X301" s="29"/>
      <c r="Y301" s="26"/>
      <c r="Z301" s="26"/>
      <c r="AA301" s="26"/>
      <c r="AB301" s="26"/>
      <c r="AC301" s="26"/>
      <c r="AD301" s="26"/>
    </row>
    <row r="302">
      <c r="H302" s="5"/>
      <c r="O302" s="5"/>
      <c r="V302" s="5"/>
      <c r="X302" s="28"/>
      <c r="Y302" s="26"/>
      <c r="Z302" s="26"/>
      <c r="AA302" s="26"/>
      <c r="AB302" s="26"/>
      <c r="AC302" s="26"/>
      <c r="AD302" s="26"/>
    </row>
    <row r="303">
      <c r="H303" s="5"/>
      <c r="O303" s="5"/>
      <c r="V303" s="5"/>
      <c r="X303" s="29"/>
      <c r="Y303" s="26"/>
      <c r="Z303" s="26"/>
      <c r="AA303" s="26"/>
      <c r="AB303" s="26"/>
      <c r="AC303" s="26"/>
      <c r="AD303" s="26"/>
    </row>
    <row r="304">
      <c r="H304" s="5"/>
      <c r="O304" s="5"/>
      <c r="V304" s="5"/>
      <c r="X304" s="28"/>
      <c r="Y304" s="26"/>
      <c r="Z304" s="26"/>
      <c r="AA304" s="26"/>
      <c r="AB304" s="26"/>
      <c r="AC304" s="26"/>
      <c r="AD304" s="26"/>
    </row>
    <row r="305">
      <c r="H305" s="5"/>
      <c r="O305" s="5"/>
      <c r="V305" s="5"/>
      <c r="X305" s="29"/>
      <c r="Y305" s="26"/>
      <c r="Z305" s="26"/>
      <c r="AA305" s="26"/>
      <c r="AB305" s="26"/>
      <c r="AC305" s="26"/>
      <c r="AD305" s="26"/>
    </row>
    <row r="306">
      <c r="H306" s="5"/>
      <c r="O306" s="5"/>
      <c r="V306" s="5"/>
      <c r="X306" s="28"/>
      <c r="Y306" s="26"/>
      <c r="Z306" s="26"/>
      <c r="AA306" s="26"/>
      <c r="AB306" s="26"/>
      <c r="AC306" s="26"/>
      <c r="AD306" s="26"/>
    </row>
    <row r="307">
      <c r="H307" s="5"/>
      <c r="O307" s="5"/>
      <c r="V307" s="5"/>
      <c r="X307" s="29"/>
      <c r="Y307" s="26"/>
      <c r="Z307" s="26"/>
      <c r="AA307" s="26"/>
      <c r="AB307" s="26"/>
      <c r="AC307" s="26"/>
      <c r="AD307" s="26"/>
    </row>
    <row r="308">
      <c r="H308" s="5"/>
      <c r="O308" s="5"/>
      <c r="V308" s="5"/>
      <c r="X308" s="28"/>
      <c r="Y308" s="26"/>
      <c r="Z308" s="26"/>
      <c r="AA308" s="26"/>
      <c r="AB308" s="26"/>
      <c r="AC308" s="26"/>
      <c r="AD308" s="26"/>
    </row>
    <row r="309">
      <c r="H309" s="5"/>
      <c r="O309" s="5"/>
      <c r="V309" s="5"/>
      <c r="X309" s="29"/>
      <c r="Y309" s="26"/>
      <c r="Z309" s="26"/>
      <c r="AA309" s="26"/>
      <c r="AB309" s="26"/>
      <c r="AC309" s="26"/>
      <c r="AD309" s="26"/>
    </row>
    <row r="310">
      <c r="H310" s="5"/>
      <c r="O310" s="5"/>
      <c r="V310" s="5"/>
      <c r="X310" s="28"/>
      <c r="Y310" s="26"/>
      <c r="Z310" s="26"/>
      <c r="AA310" s="26"/>
      <c r="AB310" s="26"/>
      <c r="AC310" s="26"/>
      <c r="AD310" s="26"/>
    </row>
    <row r="311">
      <c r="H311" s="5"/>
      <c r="O311" s="5"/>
      <c r="V311" s="5"/>
      <c r="X311" s="29"/>
      <c r="Y311" s="26"/>
      <c r="Z311" s="26"/>
      <c r="AA311" s="26"/>
      <c r="AB311" s="26"/>
      <c r="AC311" s="26"/>
      <c r="AD311" s="26"/>
    </row>
    <row r="312">
      <c r="H312" s="5"/>
      <c r="O312" s="5"/>
      <c r="V312" s="5"/>
      <c r="X312" s="28"/>
      <c r="Y312" s="26"/>
      <c r="Z312" s="26"/>
      <c r="AA312" s="26"/>
      <c r="AB312" s="26"/>
      <c r="AC312" s="26"/>
      <c r="AD312" s="26"/>
    </row>
    <row r="313">
      <c r="H313" s="5"/>
      <c r="O313" s="5"/>
      <c r="V313" s="5"/>
      <c r="X313" s="29"/>
      <c r="Y313" s="26"/>
      <c r="Z313" s="26"/>
      <c r="AA313" s="26"/>
      <c r="AB313" s="26"/>
      <c r="AC313" s="26"/>
      <c r="AD313" s="26"/>
    </row>
    <row r="314">
      <c r="H314" s="5"/>
      <c r="O314" s="5"/>
      <c r="V314" s="5"/>
      <c r="X314" s="28"/>
      <c r="Y314" s="26"/>
      <c r="Z314" s="26"/>
      <c r="AA314" s="26"/>
      <c r="AB314" s="26"/>
      <c r="AC314" s="26"/>
      <c r="AD314" s="26"/>
    </row>
    <row r="315">
      <c r="H315" s="5"/>
      <c r="O315" s="5"/>
      <c r="V315" s="5"/>
      <c r="X315" s="29"/>
      <c r="Y315" s="26"/>
      <c r="Z315" s="26"/>
      <c r="AA315" s="26"/>
      <c r="AB315" s="26"/>
      <c r="AC315" s="26"/>
      <c r="AD315" s="26"/>
    </row>
    <row r="316">
      <c r="H316" s="5"/>
      <c r="O316" s="5"/>
      <c r="V316" s="5"/>
      <c r="X316" s="28"/>
      <c r="Y316" s="26"/>
      <c r="Z316" s="26"/>
      <c r="AA316" s="26"/>
      <c r="AB316" s="26"/>
      <c r="AC316" s="26"/>
      <c r="AD316" s="26"/>
    </row>
    <row r="317">
      <c r="H317" s="5"/>
      <c r="O317" s="5"/>
      <c r="V317" s="5"/>
      <c r="X317" s="29"/>
      <c r="Y317" s="26"/>
      <c r="Z317" s="26"/>
      <c r="AA317" s="26"/>
      <c r="AB317" s="26"/>
      <c r="AC317" s="26"/>
      <c r="AD317" s="26"/>
    </row>
    <row r="318">
      <c r="H318" s="5"/>
      <c r="O318" s="5"/>
      <c r="V318" s="5"/>
      <c r="X318" s="28"/>
      <c r="Y318" s="26"/>
      <c r="Z318" s="26"/>
      <c r="AA318" s="26"/>
      <c r="AB318" s="26"/>
      <c r="AC318" s="26"/>
      <c r="AD318" s="26"/>
    </row>
    <row r="319">
      <c r="H319" s="5"/>
      <c r="O319" s="5"/>
      <c r="V319" s="5"/>
      <c r="X319" s="29"/>
      <c r="Y319" s="26"/>
      <c r="Z319" s="26"/>
      <c r="AA319" s="26"/>
      <c r="AB319" s="26"/>
      <c r="AC319" s="26"/>
      <c r="AD319" s="26"/>
    </row>
    <row r="320">
      <c r="H320" s="5"/>
      <c r="O320" s="5"/>
      <c r="V320" s="5"/>
      <c r="X320" s="28"/>
      <c r="Y320" s="26"/>
      <c r="Z320" s="26"/>
      <c r="AA320" s="26"/>
      <c r="AB320" s="26"/>
      <c r="AC320" s="26"/>
      <c r="AD320" s="26"/>
    </row>
    <row r="321">
      <c r="H321" s="5"/>
      <c r="O321" s="5"/>
      <c r="V321" s="5"/>
      <c r="X321" s="29"/>
      <c r="Y321" s="26"/>
      <c r="Z321" s="26"/>
      <c r="AA321" s="26"/>
      <c r="AB321" s="26"/>
      <c r="AC321" s="26"/>
      <c r="AD321" s="26"/>
    </row>
    <row r="322">
      <c r="H322" s="5"/>
      <c r="O322" s="5"/>
      <c r="V322" s="5"/>
      <c r="X322" s="28"/>
      <c r="Y322" s="26"/>
      <c r="Z322" s="26"/>
      <c r="AA322" s="26"/>
      <c r="AB322" s="26"/>
      <c r="AC322" s="26"/>
      <c r="AD322" s="26"/>
    </row>
    <row r="323">
      <c r="H323" s="5"/>
      <c r="O323" s="5"/>
      <c r="V323" s="5"/>
      <c r="X323" s="29"/>
      <c r="Y323" s="26"/>
      <c r="Z323" s="26"/>
      <c r="AA323" s="26"/>
      <c r="AB323" s="26"/>
      <c r="AC323" s="26"/>
      <c r="AD323" s="26"/>
    </row>
    <row r="324">
      <c r="H324" s="5"/>
      <c r="O324" s="5"/>
      <c r="V324" s="5"/>
      <c r="X324" s="28"/>
      <c r="Y324" s="26"/>
      <c r="Z324" s="26"/>
      <c r="AA324" s="26"/>
      <c r="AB324" s="26"/>
      <c r="AC324" s="26"/>
      <c r="AD324" s="26"/>
    </row>
    <row r="325">
      <c r="H325" s="5"/>
      <c r="O325" s="5"/>
      <c r="V325" s="5"/>
      <c r="X325" s="29"/>
      <c r="Y325" s="26"/>
      <c r="Z325" s="26"/>
      <c r="AA325" s="26"/>
      <c r="AB325" s="26"/>
      <c r="AC325" s="26"/>
      <c r="AD325" s="26"/>
    </row>
    <row r="326">
      <c r="H326" s="5"/>
      <c r="O326" s="5"/>
      <c r="V326" s="5"/>
      <c r="X326" s="28"/>
      <c r="Y326" s="26"/>
      <c r="Z326" s="26"/>
      <c r="AA326" s="26"/>
      <c r="AB326" s="26"/>
      <c r="AC326" s="26"/>
      <c r="AD326" s="26"/>
    </row>
    <row r="327">
      <c r="H327" s="5"/>
      <c r="O327" s="5"/>
      <c r="V327" s="5"/>
      <c r="X327" s="29"/>
      <c r="Y327" s="26"/>
      <c r="Z327" s="26"/>
      <c r="AA327" s="26"/>
      <c r="AB327" s="26"/>
      <c r="AC327" s="26"/>
      <c r="AD327" s="26"/>
    </row>
    <row r="328">
      <c r="H328" s="5"/>
      <c r="O328" s="5"/>
      <c r="V328" s="5"/>
      <c r="X328" s="28"/>
      <c r="Y328" s="26"/>
      <c r="Z328" s="26"/>
      <c r="AA328" s="26"/>
      <c r="AB328" s="26"/>
      <c r="AC328" s="26"/>
      <c r="AD328" s="26"/>
    </row>
    <row r="329">
      <c r="H329" s="5"/>
      <c r="O329" s="5"/>
      <c r="V329" s="5"/>
      <c r="X329" s="29"/>
      <c r="Y329" s="26"/>
      <c r="Z329" s="26"/>
      <c r="AA329" s="26"/>
      <c r="AB329" s="26"/>
      <c r="AC329" s="26"/>
      <c r="AD329" s="26"/>
    </row>
    <row r="330">
      <c r="H330" s="5"/>
      <c r="O330" s="5"/>
      <c r="V330" s="5"/>
      <c r="X330" s="28"/>
      <c r="Y330" s="26"/>
      <c r="Z330" s="26"/>
      <c r="AA330" s="26"/>
      <c r="AB330" s="26"/>
      <c r="AC330" s="26"/>
      <c r="AD330" s="26"/>
    </row>
    <row r="331">
      <c r="H331" s="5"/>
      <c r="O331" s="5"/>
      <c r="V331" s="5"/>
      <c r="X331" s="29"/>
      <c r="Y331" s="26"/>
      <c r="Z331" s="26"/>
      <c r="AA331" s="26"/>
      <c r="AB331" s="26"/>
      <c r="AC331" s="26"/>
      <c r="AD331" s="26"/>
    </row>
    <row r="332">
      <c r="H332" s="5"/>
      <c r="O332" s="5"/>
      <c r="V332" s="5"/>
      <c r="X332" s="28"/>
      <c r="Y332" s="26"/>
      <c r="Z332" s="26"/>
      <c r="AA332" s="26"/>
      <c r="AB332" s="26"/>
      <c r="AC332" s="26"/>
      <c r="AD332" s="26"/>
    </row>
    <row r="333">
      <c r="H333" s="5"/>
      <c r="O333" s="5"/>
      <c r="V333" s="5"/>
      <c r="X333" s="29"/>
      <c r="Y333" s="26"/>
      <c r="Z333" s="26"/>
      <c r="AA333" s="26"/>
      <c r="AB333" s="26"/>
      <c r="AC333" s="26"/>
      <c r="AD333" s="26"/>
    </row>
    <row r="334">
      <c r="H334" s="5"/>
      <c r="O334" s="5"/>
      <c r="V334" s="5"/>
      <c r="X334" s="28"/>
      <c r="Y334" s="26"/>
      <c r="Z334" s="26"/>
      <c r="AA334" s="26"/>
      <c r="AB334" s="26"/>
      <c r="AC334" s="26"/>
      <c r="AD334" s="26"/>
    </row>
    <row r="335">
      <c r="H335" s="5"/>
      <c r="O335" s="5"/>
      <c r="V335" s="5"/>
      <c r="X335" s="29"/>
      <c r="Y335" s="26"/>
      <c r="Z335" s="26"/>
      <c r="AA335" s="26"/>
      <c r="AB335" s="26"/>
      <c r="AC335" s="26"/>
      <c r="AD335" s="26"/>
    </row>
    <row r="336">
      <c r="H336" s="5"/>
      <c r="O336" s="5"/>
      <c r="V336" s="5"/>
      <c r="X336" s="28"/>
      <c r="Y336" s="26"/>
      <c r="Z336" s="26"/>
      <c r="AA336" s="26"/>
      <c r="AB336" s="26"/>
      <c r="AC336" s="26"/>
      <c r="AD336" s="26"/>
    </row>
    <row r="337">
      <c r="H337" s="5"/>
      <c r="O337" s="5"/>
      <c r="V337" s="5"/>
      <c r="X337" s="29"/>
      <c r="Y337" s="26"/>
      <c r="Z337" s="26"/>
      <c r="AA337" s="26"/>
      <c r="AB337" s="26"/>
      <c r="AC337" s="26"/>
      <c r="AD337" s="26"/>
    </row>
    <row r="338">
      <c r="H338" s="5"/>
      <c r="O338" s="5"/>
      <c r="V338" s="5"/>
      <c r="X338" s="28"/>
      <c r="Y338" s="26"/>
      <c r="Z338" s="26"/>
      <c r="AA338" s="26"/>
      <c r="AB338" s="26"/>
      <c r="AC338" s="26"/>
      <c r="AD338" s="26"/>
    </row>
    <row r="339">
      <c r="H339" s="5"/>
      <c r="O339" s="5"/>
      <c r="V339" s="5"/>
      <c r="X339" s="29"/>
      <c r="Y339" s="26"/>
      <c r="Z339" s="26"/>
      <c r="AA339" s="26"/>
      <c r="AB339" s="26"/>
      <c r="AC339" s="26"/>
      <c r="AD339" s="26"/>
    </row>
    <row r="340">
      <c r="H340" s="5"/>
      <c r="O340" s="5"/>
      <c r="V340" s="5"/>
      <c r="X340" s="28"/>
      <c r="Y340" s="26"/>
      <c r="Z340" s="26"/>
      <c r="AA340" s="26"/>
      <c r="AB340" s="26"/>
      <c r="AC340" s="26"/>
      <c r="AD340" s="26"/>
    </row>
    <row r="341">
      <c r="H341" s="5"/>
      <c r="O341" s="5"/>
      <c r="V341" s="5"/>
      <c r="X341" s="29"/>
      <c r="Y341" s="26"/>
      <c r="Z341" s="26"/>
      <c r="AA341" s="26"/>
      <c r="AB341" s="26"/>
      <c r="AC341" s="26"/>
      <c r="AD341" s="26"/>
    </row>
    <row r="342">
      <c r="H342" s="5"/>
      <c r="O342" s="5"/>
      <c r="V342" s="5"/>
      <c r="X342" s="28"/>
      <c r="Y342" s="26"/>
      <c r="Z342" s="26"/>
      <c r="AA342" s="26"/>
      <c r="AB342" s="26"/>
      <c r="AC342" s="26"/>
      <c r="AD342" s="26"/>
    </row>
    <row r="343">
      <c r="H343" s="5"/>
      <c r="O343" s="5"/>
      <c r="V343" s="5"/>
      <c r="X343" s="29"/>
      <c r="Y343" s="26"/>
      <c r="Z343" s="26"/>
      <c r="AA343" s="26"/>
      <c r="AB343" s="26"/>
      <c r="AC343" s="26"/>
      <c r="AD343" s="26"/>
    </row>
    <row r="344">
      <c r="H344" s="5"/>
      <c r="O344" s="5"/>
      <c r="V344" s="5"/>
      <c r="X344" s="28"/>
      <c r="Y344" s="26"/>
      <c r="Z344" s="26"/>
      <c r="AA344" s="26"/>
      <c r="AB344" s="26"/>
      <c r="AC344" s="26"/>
      <c r="AD344" s="26"/>
    </row>
    <row r="345">
      <c r="H345" s="5"/>
      <c r="O345" s="5"/>
      <c r="V345" s="5"/>
      <c r="X345" s="29"/>
      <c r="Y345" s="26"/>
      <c r="Z345" s="26"/>
      <c r="AA345" s="26"/>
      <c r="AB345" s="26"/>
      <c r="AC345" s="26"/>
      <c r="AD345" s="26"/>
    </row>
    <row r="346">
      <c r="H346" s="5"/>
      <c r="O346" s="5"/>
      <c r="V346" s="5"/>
      <c r="X346" s="28"/>
      <c r="Y346" s="26"/>
      <c r="Z346" s="26"/>
      <c r="AA346" s="26"/>
      <c r="AB346" s="26"/>
      <c r="AC346" s="26"/>
      <c r="AD346" s="26"/>
    </row>
    <row r="347">
      <c r="H347" s="5"/>
      <c r="O347" s="5"/>
      <c r="V347" s="5"/>
      <c r="X347" s="29"/>
      <c r="Y347" s="26"/>
      <c r="Z347" s="26"/>
      <c r="AA347" s="26"/>
      <c r="AB347" s="26"/>
      <c r="AC347" s="26"/>
      <c r="AD347" s="26"/>
    </row>
    <row r="348">
      <c r="H348" s="5"/>
      <c r="O348" s="5"/>
      <c r="V348" s="5"/>
      <c r="X348" s="28"/>
      <c r="Y348" s="26"/>
      <c r="Z348" s="26"/>
      <c r="AA348" s="26"/>
      <c r="AB348" s="26"/>
      <c r="AC348" s="26"/>
      <c r="AD348" s="26"/>
    </row>
    <row r="349">
      <c r="H349" s="5"/>
      <c r="O349" s="5"/>
      <c r="V349" s="5"/>
      <c r="X349" s="29"/>
      <c r="Y349" s="26"/>
      <c r="Z349" s="26"/>
      <c r="AA349" s="26"/>
      <c r="AB349" s="26"/>
      <c r="AC349" s="26"/>
      <c r="AD349" s="26"/>
    </row>
    <row r="350">
      <c r="H350" s="5"/>
      <c r="O350" s="5"/>
      <c r="V350" s="5"/>
      <c r="X350" s="28"/>
      <c r="Y350" s="26"/>
      <c r="Z350" s="26"/>
      <c r="AA350" s="26"/>
      <c r="AB350" s="26"/>
      <c r="AC350" s="26"/>
      <c r="AD350" s="26"/>
    </row>
    <row r="351">
      <c r="H351" s="5"/>
      <c r="O351" s="5"/>
      <c r="V351" s="5"/>
      <c r="X351" s="29"/>
      <c r="Y351" s="26"/>
      <c r="Z351" s="26"/>
      <c r="AA351" s="26"/>
      <c r="AB351" s="26"/>
      <c r="AC351" s="26"/>
      <c r="AD351" s="26"/>
    </row>
    <row r="352">
      <c r="H352" s="5"/>
      <c r="O352" s="5"/>
      <c r="V352" s="5"/>
      <c r="X352" s="28"/>
      <c r="Y352" s="26"/>
      <c r="Z352" s="26"/>
      <c r="AA352" s="26"/>
      <c r="AB352" s="26"/>
      <c r="AC352" s="26"/>
      <c r="AD352" s="26"/>
    </row>
    <row r="353">
      <c r="H353" s="5"/>
      <c r="O353" s="5"/>
      <c r="V353" s="5"/>
      <c r="X353" s="29"/>
      <c r="Y353" s="26"/>
      <c r="Z353" s="26"/>
      <c r="AA353" s="26"/>
      <c r="AB353" s="26"/>
      <c r="AC353" s="26"/>
      <c r="AD353" s="26"/>
    </row>
    <row r="354">
      <c r="H354" s="5"/>
      <c r="O354" s="5"/>
      <c r="V354" s="5"/>
      <c r="X354" s="28"/>
      <c r="Y354" s="26"/>
      <c r="Z354" s="26"/>
      <c r="AA354" s="26"/>
      <c r="AB354" s="26"/>
      <c r="AC354" s="26"/>
      <c r="AD354" s="26"/>
    </row>
    <row r="355">
      <c r="H355" s="5"/>
      <c r="O355" s="5"/>
      <c r="V355" s="5"/>
      <c r="X355" s="29"/>
      <c r="Y355" s="26"/>
      <c r="Z355" s="26"/>
      <c r="AA355" s="26"/>
      <c r="AB355" s="26"/>
      <c r="AC355" s="26"/>
      <c r="AD355" s="26"/>
    </row>
    <row r="356">
      <c r="H356" s="5"/>
      <c r="O356" s="5"/>
      <c r="V356" s="5"/>
      <c r="X356" s="28"/>
      <c r="Y356" s="26"/>
      <c r="Z356" s="26"/>
      <c r="AA356" s="26"/>
      <c r="AB356" s="26"/>
      <c r="AC356" s="26"/>
      <c r="AD356" s="26"/>
    </row>
    <row r="357">
      <c r="H357" s="5"/>
      <c r="O357" s="5"/>
      <c r="V357" s="5"/>
      <c r="X357" s="29"/>
      <c r="Y357" s="26"/>
      <c r="Z357" s="26"/>
      <c r="AA357" s="26"/>
      <c r="AB357" s="26"/>
      <c r="AC357" s="26"/>
      <c r="AD357" s="26"/>
    </row>
    <row r="358">
      <c r="H358" s="5"/>
      <c r="O358" s="5"/>
      <c r="V358" s="5"/>
      <c r="X358" s="28"/>
      <c r="Y358" s="26"/>
      <c r="Z358" s="26"/>
      <c r="AA358" s="26"/>
      <c r="AB358" s="26"/>
      <c r="AC358" s="26"/>
      <c r="AD358" s="26"/>
    </row>
    <row r="359">
      <c r="H359" s="5"/>
      <c r="O359" s="5"/>
      <c r="V359" s="5"/>
      <c r="X359" s="29"/>
      <c r="Y359" s="26"/>
      <c r="Z359" s="26"/>
      <c r="AA359" s="26"/>
      <c r="AB359" s="26"/>
      <c r="AC359" s="26"/>
      <c r="AD359" s="26"/>
    </row>
    <row r="360">
      <c r="H360" s="5"/>
      <c r="O360" s="5"/>
      <c r="V360" s="5"/>
      <c r="X360" s="28"/>
      <c r="Y360" s="26"/>
      <c r="Z360" s="26"/>
      <c r="AA360" s="26"/>
      <c r="AB360" s="26"/>
      <c r="AC360" s="26"/>
      <c r="AD360" s="26"/>
    </row>
    <row r="361">
      <c r="H361" s="5"/>
      <c r="O361" s="5"/>
      <c r="V361" s="5"/>
      <c r="X361" s="29"/>
      <c r="Y361" s="26"/>
      <c r="Z361" s="26"/>
      <c r="AA361" s="26"/>
      <c r="AB361" s="26"/>
      <c r="AC361" s="26"/>
      <c r="AD361" s="26"/>
    </row>
    <row r="362">
      <c r="H362" s="5"/>
      <c r="O362" s="5"/>
      <c r="V362" s="5"/>
      <c r="X362" s="28"/>
      <c r="Y362" s="26"/>
      <c r="Z362" s="26"/>
      <c r="AA362" s="26"/>
      <c r="AB362" s="26"/>
      <c r="AC362" s="26"/>
      <c r="AD362" s="26"/>
    </row>
    <row r="363">
      <c r="H363" s="5"/>
      <c r="O363" s="5"/>
      <c r="V363" s="5"/>
      <c r="X363" s="29"/>
      <c r="Y363" s="26"/>
      <c r="Z363" s="26"/>
      <c r="AA363" s="26"/>
      <c r="AB363" s="26"/>
      <c r="AC363" s="26"/>
      <c r="AD363" s="26"/>
    </row>
    <row r="364">
      <c r="H364" s="5"/>
      <c r="O364" s="5"/>
      <c r="V364" s="5"/>
      <c r="X364" s="28"/>
      <c r="Y364" s="26"/>
      <c r="Z364" s="26"/>
      <c r="AA364" s="26"/>
      <c r="AB364" s="26"/>
      <c r="AC364" s="26"/>
      <c r="AD364" s="26"/>
    </row>
    <row r="365">
      <c r="H365" s="5"/>
      <c r="O365" s="5"/>
      <c r="V365" s="5"/>
      <c r="X365" s="29"/>
      <c r="Y365" s="26"/>
      <c r="Z365" s="26"/>
      <c r="AA365" s="26"/>
      <c r="AB365" s="26"/>
      <c r="AC365" s="26"/>
      <c r="AD365" s="26"/>
    </row>
    <row r="366">
      <c r="H366" s="5"/>
      <c r="O366" s="5"/>
      <c r="V366" s="5"/>
      <c r="X366" s="28"/>
      <c r="Y366" s="26"/>
      <c r="Z366" s="26"/>
      <c r="AA366" s="26"/>
      <c r="AB366" s="26"/>
      <c r="AC366" s="26"/>
      <c r="AD366" s="26"/>
    </row>
    <row r="367">
      <c r="H367" s="5"/>
      <c r="O367" s="5"/>
      <c r="V367" s="5"/>
      <c r="X367" s="29"/>
      <c r="Y367" s="26"/>
      <c r="Z367" s="26"/>
      <c r="AA367" s="26"/>
      <c r="AB367" s="26"/>
      <c r="AC367" s="26"/>
      <c r="AD367" s="26"/>
    </row>
    <row r="368">
      <c r="H368" s="5"/>
      <c r="O368" s="5"/>
      <c r="V368" s="5"/>
      <c r="X368" s="28"/>
      <c r="Y368" s="26"/>
      <c r="Z368" s="26"/>
      <c r="AA368" s="26"/>
      <c r="AB368" s="26"/>
      <c r="AC368" s="26"/>
      <c r="AD368" s="26"/>
    </row>
    <row r="369">
      <c r="H369" s="5"/>
      <c r="O369" s="5"/>
      <c r="V369" s="5"/>
      <c r="X369" s="29"/>
      <c r="Y369" s="26"/>
      <c r="Z369" s="26"/>
      <c r="AA369" s="26"/>
      <c r="AB369" s="26"/>
      <c r="AC369" s="26"/>
      <c r="AD369" s="26"/>
    </row>
    <row r="370">
      <c r="H370" s="5"/>
      <c r="O370" s="5"/>
      <c r="V370" s="5"/>
      <c r="X370" s="28"/>
      <c r="Y370" s="26"/>
      <c r="Z370" s="26"/>
      <c r="AA370" s="26"/>
      <c r="AB370" s="26"/>
      <c r="AC370" s="26"/>
      <c r="AD370" s="26"/>
    </row>
    <row r="371">
      <c r="H371" s="5"/>
      <c r="O371" s="5"/>
      <c r="V371" s="5"/>
      <c r="X371" s="29"/>
      <c r="Y371" s="26"/>
      <c r="Z371" s="26"/>
      <c r="AA371" s="26"/>
      <c r="AB371" s="26"/>
      <c r="AC371" s="26"/>
      <c r="AD371" s="26"/>
    </row>
    <row r="372">
      <c r="H372" s="5"/>
      <c r="O372" s="5"/>
      <c r="V372" s="5"/>
      <c r="X372" s="28"/>
      <c r="Y372" s="26"/>
      <c r="Z372" s="26"/>
      <c r="AA372" s="26"/>
      <c r="AB372" s="26"/>
      <c r="AC372" s="26"/>
      <c r="AD372" s="26"/>
    </row>
    <row r="373">
      <c r="H373" s="5"/>
      <c r="O373" s="5"/>
      <c r="V373" s="5"/>
      <c r="X373" s="29"/>
      <c r="Y373" s="26"/>
      <c r="Z373" s="26"/>
      <c r="AA373" s="26"/>
      <c r="AB373" s="26"/>
      <c r="AC373" s="26"/>
      <c r="AD373" s="26"/>
    </row>
    <row r="374">
      <c r="H374" s="5"/>
      <c r="O374" s="5"/>
      <c r="V374" s="5"/>
      <c r="X374" s="28"/>
      <c r="Y374" s="26"/>
      <c r="Z374" s="26"/>
      <c r="AA374" s="26"/>
      <c r="AB374" s="26"/>
      <c r="AC374" s="26"/>
      <c r="AD374" s="26"/>
    </row>
    <row r="375">
      <c r="H375" s="5"/>
      <c r="O375" s="5"/>
      <c r="V375" s="5"/>
      <c r="X375" s="29"/>
      <c r="Y375" s="26"/>
      <c r="Z375" s="26"/>
      <c r="AA375" s="26"/>
      <c r="AB375" s="26"/>
      <c r="AC375" s="26"/>
      <c r="AD375" s="26"/>
    </row>
    <row r="376">
      <c r="H376" s="5"/>
      <c r="O376" s="5"/>
      <c r="V376" s="5"/>
      <c r="X376" s="28"/>
      <c r="Y376" s="26"/>
      <c r="Z376" s="26"/>
      <c r="AA376" s="26"/>
      <c r="AB376" s="26"/>
      <c r="AC376" s="26"/>
      <c r="AD376" s="26"/>
    </row>
    <row r="377">
      <c r="H377" s="5"/>
      <c r="O377" s="5"/>
      <c r="V377" s="5"/>
      <c r="X377" s="29"/>
      <c r="Y377" s="26"/>
      <c r="Z377" s="26"/>
      <c r="AA377" s="26"/>
      <c r="AB377" s="26"/>
      <c r="AC377" s="26"/>
      <c r="AD377" s="26"/>
    </row>
    <row r="378">
      <c r="H378" s="5"/>
      <c r="O378" s="5"/>
      <c r="V378" s="5"/>
      <c r="X378" s="28"/>
      <c r="Y378" s="26"/>
      <c r="Z378" s="26"/>
      <c r="AA378" s="26"/>
      <c r="AB378" s="26"/>
      <c r="AC378" s="26"/>
      <c r="AD378" s="26"/>
    </row>
    <row r="379">
      <c r="H379" s="5"/>
      <c r="O379" s="5"/>
      <c r="V379" s="5"/>
      <c r="X379" s="29"/>
      <c r="Y379" s="26"/>
      <c r="Z379" s="26"/>
      <c r="AA379" s="26"/>
      <c r="AB379" s="26"/>
      <c r="AC379" s="26"/>
      <c r="AD379" s="26"/>
    </row>
    <row r="380">
      <c r="H380" s="5"/>
      <c r="O380" s="5"/>
      <c r="V380" s="5"/>
      <c r="X380" s="28"/>
      <c r="Y380" s="26"/>
      <c r="Z380" s="26"/>
      <c r="AA380" s="26"/>
      <c r="AB380" s="26"/>
      <c r="AC380" s="26"/>
      <c r="AD380" s="26"/>
    </row>
    <row r="381">
      <c r="H381" s="5"/>
      <c r="O381" s="5"/>
      <c r="V381" s="5"/>
      <c r="X381" s="29"/>
      <c r="Y381" s="26"/>
      <c r="Z381" s="26"/>
      <c r="AA381" s="26"/>
      <c r="AB381" s="26"/>
      <c r="AC381" s="26"/>
      <c r="AD381" s="26"/>
    </row>
    <row r="382">
      <c r="H382" s="5"/>
      <c r="O382" s="5"/>
      <c r="V382" s="5"/>
      <c r="X382" s="28"/>
      <c r="Y382" s="26"/>
      <c r="Z382" s="26"/>
      <c r="AA382" s="26"/>
      <c r="AB382" s="26"/>
      <c r="AC382" s="26"/>
      <c r="AD382" s="26"/>
    </row>
    <row r="383">
      <c r="H383" s="5"/>
      <c r="O383" s="5"/>
      <c r="V383" s="5"/>
      <c r="X383" s="29"/>
      <c r="Y383" s="26"/>
      <c r="Z383" s="26"/>
      <c r="AA383" s="26"/>
      <c r="AB383" s="26"/>
      <c r="AC383" s="26"/>
      <c r="AD383" s="26"/>
    </row>
    <row r="384">
      <c r="H384" s="5"/>
      <c r="O384" s="5"/>
      <c r="V384" s="5"/>
      <c r="X384" s="28"/>
      <c r="Y384" s="26"/>
      <c r="Z384" s="26"/>
      <c r="AA384" s="26"/>
      <c r="AB384" s="26"/>
      <c r="AC384" s="26"/>
      <c r="AD384" s="26"/>
    </row>
    <row r="385">
      <c r="H385" s="5"/>
      <c r="O385" s="5"/>
      <c r="V385" s="5"/>
      <c r="X385" s="29"/>
      <c r="Y385" s="26"/>
      <c r="Z385" s="26"/>
      <c r="AA385" s="26"/>
      <c r="AB385" s="26"/>
      <c r="AC385" s="26"/>
      <c r="AD385" s="26"/>
    </row>
    <row r="386">
      <c r="H386" s="5"/>
      <c r="O386" s="5"/>
      <c r="V386" s="5"/>
      <c r="X386" s="28"/>
      <c r="Y386" s="26"/>
      <c r="Z386" s="26"/>
      <c r="AA386" s="26"/>
      <c r="AB386" s="26"/>
      <c r="AC386" s="26"/>
      <c r="AD386" s="26"/>
    </row>
    <row r="387">
      <c r="H387" s="5"/>
      <c r="O387" s="5"/>
      <c r="V387" s="5"/>
      <c r="X387" s="29"/>
      <c r="Y387" s="26"/>
      <c r="Z387" s="26"/>
      <c r="AA387" s="26"/>
      <c r="AB387" s="26"/>
      <c r="AC387" s="26"/>
      <c r="AD387" s="26"/>
    </row>
    <row r="388">
      <c r="H388" s="5"/>
      <c r="O388" s="5"/>
      <c r="V388" s="5"/>
      <c r="X388" s="28"/>
      <c r="Y388" s="26"/>
      <c r="Z388" s="26"/>
      <c r="AA388" s="26"/>
      <c r="AB388" s="26"/>
      <c r="AC388" s="26"/>
      <c r="AD388" s="26"/>
    </row>
    <row r="389">
      <c r="H389" s="5"/>
      <c r="O389" s="5"/>
      <c r="V389" s="5"/>
      <c r="X389" s="29"/>
      <c r="Y389" s="26"/>
      <c r="Z389" s="26"/>
      <c r="AA389" s="26"/>
      <c r="AB389" s="26"/>
      <c r="AC389" s="26"/>
      <c r="AD389" s="26"/>
    </row>
    <row r="390">
      <c r="H390" s="5"/>
      <c r="O390" s="5"/>
      <c r="V390" s="5"/>
      <c r="X390" s="28"/>
      <c r="Y390" s="26"/>
      <c r="Z390" s="26"/>
      <c r="AA390" s="26"/>
      <c r="AB390" s="26"/>
      <c r="AC390" s="26"/>
      <c r="AD390" s="26"/>
    </row>
    <row r="391">
      <c r="H391" s="5"/>
      <c r="O391" s="5"/>
      <c r="V391" s="5"/>
      <c r="X391" s="29"/>
      <c r="Y391" s="26"/>
      <c r="Z391" s="26"/>
      <c r="AA391" s="26"/>
      <c r="AB391" s="26"/>
      <c r="AC391" s="26"/>
      <c r="AD391" s="26"/>
    </row>
    <row r="392">
      <c r="H392" s="5"/>
      <c r="O392" s="5"/>
      <c r="V392" s="5"/>
      <c r="X392" s="28"/>
      <c r="Y392" s="26"/>
      <c r="Z392" s="26"/>
      <c r="AA392" s="26"/>
      <c r="AB392" s="26"/>
      <c r="AC392" s="26"/>
      <c r="AD392" s="26"/>
    </row>
    <row r="393">
      <c r="H393" s="5"/>
      <c r="O393" s="5"/>
      <c r="V393" s="5"/>
      <c r="X393" s="29"/>
      <c r="Y393" s="26"/>
      <c r="Z393" s="26"/>
      <c r="AA393" s="26"/>
      <c r="AB393" s="26"/>
      <c r="AC393" s="26"/>
      <c r="AD393" s="26"/>
    </row>
    <row r="394">
      <c r="H394" s="5"/>
      <c r="O394" s="5"/>
      <c r="V394" s="5"/>
      <c r="X394" s="28"/>
      <c r="Y394" s="26"/>
      <c r="Z394" s="26"/>
      <c r="AA394" s="26"/>
      <c r="AB394" s="26"/>
      <c r="AC394" s="26"/>
      <c r="AD394" s="26"/>
    </row>
    <row r="395">
      <c r="H395" s="5"/>
      <c r="O395" s="5"/>
      <c r="V395" s="5"/>
      <c r="X395" s="29"/>
      <c r="Y395" s="26"/>
      <c r="Z395" s="26"/>
      <c r="AA395" s="26"/>
      <c r="AB395" s="26"/>
      <c r="AC395" s="26"/>
      <c r="AD395" s="26"/>
    </row>
    <row r="396">
      <c r="H396" s="5"/>
      <c r="O396" s="5"/>
      <c r="V396" s="5"/>
      <c r="X396" s="28"/>
      <c r="Y396" s="26"/>
      <c r="Z396" s="26"/>
      <c r="AA396" s="26"/>
      <c r="AB396" s="26"/>
      <c r="AC396" s="26"/>
      <c r="AD396" s="26"/>
    </row>
    <row r="397">
      <c r="H397" s="5"/>
      <c r="O397" s="5"/>
      <c r="V397" s="5"/>
      <c r="X397" s="29"/>
      <c r="Y397" s="26"/>
      <c r="Z397" s="26"/>
      <c r="AA397" s="26"/>
      <c r="AB397" s="26"/>
      <c r="AC397" s="26"/>
      <c r="AD397" s="26"/>
    </row>
    <row r="398">
      <c r="H398" s="5"/>
      <c r="O398" s="5"/>
      <c r="V398" s="5"/>
      <c r="X398" s="28"/>
      <c r="Y398" s="26"/>
      <c r="Z398" s="26"/>
      <c r="AA398" s="26"/>
      <c r="AB398" s="26"/>
      <c r="AC398" s="26"/>
      <c r="AD398" s="26"/>
    </row>
    <row r="399">
      <c r="H399" s="5"/>
      <c r="O399" s="5"/>
      <c r="V399" s="5"/>
      <c r="X399" s="29"/>
      <c r="Y399" s="26"/>
      <c r="Z399" s="26"/>
      <c r="AA399" s="26"/>
      <c r="AB399" s="26"/>
      <c r="AC399" s="26"/>
      <c r="AD399" s="26"/>
    </row>
    <row r="400">
      <c r="H400" s="5"/>
      <c r="O400" s="5"/>
      <c r="V400" s="5"/>
      <c r="X400" s="28"/>
      <c r="Y400" s="26"/>
      <c r="Z400" s="26"/>
      <c r="AA400" s="26"/>
      <c r="AB400" s="26"/>
      <c r="AC400" s="26"/>
      <c r="AD400" s="26"/>
    </row>
    <row r="401">
      <c r="H401" s="5"/>
      <c r="O401" s="5"/>
      <c r="V401" s="5"/>
      <c r="X401" s="29"/>
      <c r="Y401" s="26"/>
      <c r="Z401" s="26"/>
      <c r="AA401" s="26"/>
      <c r="AB401" s="26"/>
      <c r="AC401" s="26"/>
      <c r="AD401" s="26"/>
    </row>
    <row r="402">
      <c r="H402" s="5"/>
      <c r="O402" s="5"/>
      <c r="V402" s="5"/>
      <c r="X402" s="28"/>
      <c r="Y402" s="26"/>
      <c r="Z402" s="26"/>
      <c r="AA402" s="26"/>
      <c r="AB402" s="26"/>
      <c r="AC402" s="26"/>
      <c r="AD402" s="26"/>
    </row>
    <row r="403">
      <c r="H403" s="5"/>
      <c r="O403" s="5"/>
      <c r="V403" s="5"/>
      <c r="X403" s="29"/>
      <c r="Y403" s="26"/>
      <c r="Z403" s="26"/>
      <c r="AA403" s="26"/>
      <c r="AB403" s="26"/>
      <c r="AC403" s="26"/>
      <c r="AD403" s="26"/>
    </row>
    <row r="404">
      <c r="H404" s="5"/>
      <c r="O404" s="5"/>
      <c r="V404" s="5"/>
      <c r="X404" s="28"/>
      <c r="Y404" s="26"/>
      <c r="Z404" s="26"/>
      <c r="AA404" s="26"/>
      <c r="AB404" s="26"/>
      <c r="AC404" s="26"/>
      <c r="AD404" s="26"/>
    </row>
    <row r="405">
      <c r="H405" s="5"/>
      <c r="O405" s="5"/>
      <c r="V405" s="5"/>
      <c r="X405" s="29"/>
      <c r="Y405" s="26"/>
      <c r="Z405" s="26"/>
      <c r="AA405" s="26"/>
      <c r="AB405" s="26"/>
      <c r="AC405" s="26"/>
      <c r="AD405" s="26"/>
    </row>
    <row r="406">
      <c r="H406" s="5"/>
      <c r="O406" s="5"/>
      <c r="V406" s="5"/>
      <c r="X406" s="28"/>
      <c r="Y406" s="26"/>
      <c r="Z406" s="26"/>
      <c r="AA406" s="26"/>
      <c r="AB406" s="26"/>
      <c r="AC406" s="26"/>
      <c r="AD406" s="26"/>
    </row>
    <row r="407">
      <c r="H407" s="5"/>
      <c r="O407" s="5"/>
      <c r="V407" s="5"/>
      <c r="X407" s="29"/>
      <c r="Y407" s="26"/>
      <c r="Z407" s="26"/>
      <c r="AA407" s="26"/>
      <c r="AB407" s="26"/>
      <c r="AC407" s="26"/>
      <c r="AD407" s="26"/>
    </row>
    <row r="408">
      <c r="H408" s="5"/>
      <c r="O408" s="5"/>
      <c r="V408" s="5"/>
      <c r="X408" s="28"/>
      <c r="Y408" s="26"/>
      <c r="Z408" s="26"/>
      <c r="AA408" s="26"/>
      <c r="AB408" s="26"/>
      <c r="AC408" s="26"/>
      <c r="AD408" s="26"/>
    </row>
    <row r="409">
      <c r="H409" s="5"/>
      <c r="O409" s="5"/>
      <c r="V409" s="5"/>
      <c r="X409" s="29"/>
      <c r="Y409" s="26"/>
      <c r="Z409" s="26"/>
      <c r="AA409" s="26"/>
      <c r="AB409" s="26"/>
      <c r="AC409" s="26"/>
      <c r="AD409" s="26"/>
    </row>
    <row r="410">
      <c r="H410" s="5"/>
      <c r="O410" s="5"/>
      <c r="V410" s="5"/>
      <c r="X410" s="28"/>
      <c r="Y410" s="26"/>
      <c r="Z410" s="26"/>
      <c r="AA410" s="26"/>
      <c r="AB410" s="26"/>
      <c r="AC410" s="26"/>
      <c r="AD410" s="26"/>
    </row>
    <row r="411">
      <c r="H411" s="5"/>
      <c r="O411" s="5"/>
      <c r="V411" s="5"/>
      <c r="X411" s="29"/>
      <c r="Y411" s="26"/>
      <c r="Z411" s="26"/>
      <c r="AA411" s="26"/>
      <c r="AB411" s="26"/>
      <c r="AC411" s="26"/>
      <c r="AD411" s="26"/>
    </row>
    <row r="412">
      <c r="H412" s="5"/>
      <c r="O412" s="5"/>
      <c r="V412" s="5"/>
      <c r="X412" s="28"/>
      <c r="Y412" s="26"/>
      <c r="Z412" s="26"/>
      <c r="AA412" s="26"/>
      <c r="AB412" s="26"/>
      <c r="AC412" s="26"/>
      <c r="AD412" s="26"/>
    </row>
    <row r="413">
      <c r="H413" s="5"/>
      <c r="O413" s="5"/>
      <c r="V413" s="5"/>
      <c r="X413" s="29"/>
      <c r="Y413" s="26"/>
      <c r="Z413" s="26"/>
      <c r="AA413" s="26"/>
      <c r="AB413" s="26"/>
      <c r="AC413" s="26"/>
      <c r="AD413" s="26"/>
    </row>
    <row r="414">
      <c r="H414" s="5"/>
      <c r="O414" s="5"/>
      <c r="V414" s="5"/>
      <c r="X414" s="28"/>
      <c r="Y414" s="26"/>
      <c r="Z414" s="26"/>
      <c r="AA414" s="26"/>
      <c r="AB414" s="26"/>
      <c r="AC414" s="26"/>
      <c r="AD414" s="26"/>
    </row>
    <row r="415">
      <c r="H415" s="5"/>
      <c r="O415" s="5"/>
      <c r="V415" s="5"/>
      <c r="X415" s="29"/>
      <c r="Y415" s="26"/>
      <c r="Z415" s="26"/>
      <c r="AA415" s="26"/>
      <c r="AB415" s="26"/>
      <c r="AC415" s="26"/>
      <c r="AD415" s="26"/>
    </row>
    <row r="416">
      <c r="H416" s="5"/>
      <c r="O416" s="5"/>
      <c r="V416" s="5"/>
      <c r="X416" s="28"/>
      <c r="Y416" s="26"/>
      <c r="Z416" s="26"/>
      <c r="AA416" s="26"/>
      <c r="AB416" s="26"/>
      <c r="AC416" s="26"/>
      <c r="AD416" s="26"/>
    </row>
    <row r="417">
      <c r="H417" s="5"/>
      <c r="O417" s="5"/>
      <c r="V417" s="5"/>
      <c r="X417" s="29"/>
      <c r="Y417" s="26"/>
      <c r="Z417" s="26"/>
      <c r="AA417" s="26"/>
      <c r="AB417" s="26"/>
      <c r="AC417" s="26"/>
      <c r="AD417" s="26"/>
    </row>
    <row r="418">
      <c r="H418" s="5"/>
      <c r="O418" s="5"/>
      <c r="V418" s="5"/>
      <c r="X418" s="28"/>
      <c r="Y418" s="26"/>
      <c r="Z418" s="26"/>
      <c r="AA418" s="26"/>
      <c r="AB418" s="26"/>
      <c r="AC418" s="26"/>
      <c r="AD418" s="26"/>
    </row>
    <row r="419">
      <c r="H419" s="5"/>
      <c r="O419" s="5"/>
      <c r="V419" s="5"/>
      <c r="X419" s="29"/>
      <c r="Y419" s="26"/>
      <c r="Z419" s="26"/>
      <c r="AA419" s="26"/>
      <c r="AB419" s="26"/>
      <c r="AC419" s="26"/>
      <c r="AD419" s="26"/>
    </row>
    <row r="420">
      <c r="H420" s="5"/>
      <c r="O420" s="5"/>
      <c r="V420" s="5"/>
      <c r="X420" s="28"/>
      <c r="Y420" s="26"/>
      <c r="Z420" s="26"/>
      <c r="AA420" s="26"/>
      <c r="AB420" s="26"/>
      <c r="AC420" s="26"/>
      <c r="AD420" s="26"/>
    </row>
    <row r="421">
      <c r="H421" s="5"/>
      <c r="O421" s="5"/>
      <c r="V421" s="5"/>
      <c r="X421" s="29"/>
      <c r="Y421" s="26"/>
      <c r="Z421" s="26"/>
      <c r="AA421" s="26"/>
      <c r="AB421" s="26"/>
      <c r="AC421" s="26"/>
      <c r="AD421" s="26"/>
    </row>
    <row r="422">
      <c r="H422" s="5"/>
      <c r="O422" s="5"/>
      <c r="V422" s="5"/>
      <c r="X422" s="28"/>
      <c r="Y422" s="26"/>
      <c r="Z422" s="26"/>
      <c r="AA422" s="26"/>
      <c r="AB422" s="26"/>
      <c r="AC422" s="26"/>
      <c r="AD422" s="26"/>
    </row>
    <row r="423">
      <c r="H423" s="5"/>
      <c r="O423" s="5"/>
      <c r="V423" s="5"/>
      <c r="X423" s="29"/>
      <c r="Y423" s="26"/>
      <c r="Z423" s="26"/>
      <c r="AA423" s="26"/>
      <c r="AB423" s="26"/>
      <c r="AC423" s="26"/>
      <c r="AD423" s="26"/>
    </row>
    <row r="424">
      <c r="H424" s="5"/>
      <c r="O424" s="5"/>
      <c r="V424" s="5"/>
      <c r="X424" s="28"/>
      <c r="Y424" s="26"/>
      <c r="Z424" s="26"/>
      <c r="AA424" s="26"/>
      <c r="AB424" s="26"/>
      <c r="AC424" s="26"/>
      <c r="AD424" s="26"/>
    </row>
    <row r="425">
      <c r="H425" s="5"/>
      <c r="O425" s="5"/>
      <c r="V425" s="5"/>
      <c r="X425" s="29"/>
      <c r="Y425" s="26"/>
      <c r="Z425" s="26"/>
      <c r="AA425" s="26"/>
      <c r="AB425" s="26"/>
      <c r="AC425" s="26"/>
      <c r="AD425" s="26"/>
    </row>
    <row r="426">
      <c r="H426" s="5"/>
      <c r="O426" s="5"/>
      <c r="V426" s="5"/>
      <c r="X426" s="28"/>
      <c r="Y426" s="26"/>
      <c r="Z426" s="26"/>
      <c r="AA426" s="26"/>
      <c r="AB426" s="26"/>
      <c r="AC426" s="26"/>
      <c r="AD426" s="26"/>
    </row>
    <row r="427">
      <c r="H427" s="5"/>
      <c r="O427" s="5"/>
      <c r="V427" s="5"/>
      <c r="X427" s="29"/>
      <c r="Y427" s="26"/>
      <c r="Z427" s="26"/>
      <c r="AA427" s="26"/>
      <c r="AB427" s="26"/>
      <c r="AC427" s="26"/>
      <c r="AD427" s="26"/>
    </row>
    <row r="428">
      <c r="H428" s="5"/>
      <c r="O428" s="5"/>
      <c r="V428" s="5"/>
      <c r="X428" s="28"/>
      <c r="Y428" s="26"/>
      <c r="Z428" s="26"/>
      <c r="AA428" s="26"/>
      <c r="AB428" s="26"/>
      <c r="AC428" s="26"/>
      <c r="AD428" s="26"/>
    </row>
    <row r="429">
      <c r="H429" s="5"/>
      <c r="O429" s="5"/>
      <c r="V429" s="5"/>
      <c r="X429" s="29"/>
      <c r="Y429" s="26"/>
      <c r="Z429" s="26"/>
      <c r="AA429" s="26"/>
      <c r="AB429" s="26"/>
      <c r="AC429" s="26"/>
      <c r="AD429" s="26"/>
    </row>
    <row r="430">
      <c r="H430" s="5"/>
      <c r="O430" s="5"/>
      <c r="V430" s="5"/>
      <c r="X430" s="28"/>
      <c r="Y430" s="26"/>
      <c r="Z430" s="26"/>
      <c r="AA430" s="26"/>
      <c r="AB430" s="26"/>
      <c r="AC430" s="26"/>
      <c r="AD430" s="26"/>
    </row>
    <row r="431">
      <c r="H431" s="5"/>
      <c r="O431" s="5"/>
      <c r="V431" s="5"/>
      <c r="X431" s="29"/>
      <c r="Y431" s="26"/>
      <c r="Z431" s="26"/>
      <c r="AA431" s="26"/>
      <c r="AB431" s="26"/>
      <c r="AC431" s="26"/>
      <c r="AD431" s="26"/>
    </row>
    <row r="432">
      <c r="H432" s="5"/>
      <c r="O432" s="5"/>
      <c r="V432" s="5"/>
      <c r="X432" s="28"/>
      <c r="Y432" s="26"/>
      <c r="Z432" s="26"/>
      <c r="AA432" s="26"/>
      <c r="AB432" s="26"/>
      <c r="AC432" s="26"/>
      <c r="AD432" s="26"/>
    </row>
    <row r="433">
      <c r="H433" s="5"/>
      <c r="O433" s="5"/>
      <c r="V433" s="5"/>
      <c r="X433" s="29"/>
      <c r="Y433" s="26"/>
      <c r="Z433" s="26"/>
      <c r="AA433" s="26"/>
      <c r="AB433" s="26"/>
      <c r="AC433" s="26"/>
      <c r="AD433" s="26"/>
    </row>
    <row r="434">
      <c r="H434" s="5"/>
      <c r="O434" s="5"/>
      <c r="V434" s="5"/>
      <c r="X434" s="28"/>
      <c r="Y434" s="26"/>
      <c r="Z434" s="26"/>
      <c r="AA434" s="26"/>
      <c r="AB434" s="26"/>
      <c r="AC434" s="26"/>
      <c r="AD434" s="26"/>
    </row>
    <row r="435">
      <c r="H435" s="5"/>
      <c r="O435" s="5"/>
      <c r="V435" s="5"/>
      <c r="X435" s="29"/>
      <c r="Y435" s="26"/>
      <c r="Z435" s="26"/>
      <c r="AA435" s="26"/>
      <c r="AB435" s="26"/>
      <c r="AC435" s="26"/>
      <c r="AD435" s="26"/>
    </row>
    <row r="436">
      <c r="H436" s="5"/>
      <c r="O436" s="5"/>
      <c r="V436" s="5"/>
      <c r="X436" s="28"/>
      <c r="Y436" s="26"/>
      <c r="Z436" s="26"/>
      <c r="AA436" s="26"/>
      <c r="AB436" s="26"/>
      <c r="AC436" s="26"/>
      <c r="AD436" s="26"/>
    </row>
    <row r="437">
      <c r="H437" s="5"/>
      <c r="O437" s="5"/>
      <c r="V437" s="5"/>
      <c r="X437" s="29"/>
      <c r="Y437" s="26"/>
      <c r="Z437" s="26"/>
      <c r="AA437" s="26"/>
      <c r="AB437" s="26"/>
      <c r="AC437" s="26"/>
      <c r="AD437" s="26"/>
    </row>
    <row r="438">
      <c r="H438" s="5"/>
      <c r="O438" s="5"/>
      <c r="V438" s="5"/>
      <c r="X438" s="28"/>
      <c r="Y438" s="26"/>
      <c r="Z438" s="26"/>
      <c r="AA438" s="26"/>
      <c r="AB438" s="26"/>
      <c r="AC438" s="26"/>
      <c r="AD438" s="26"/>
    </row>
    <row r="439">
      <c r="H439" s="5"/>
      <c r="O439" s="5"/>
      <c r="V439" s="5"/>
      <c r="X439" s="29"/>
      <c r="Y439" s="26"/>
      <c r="Z439" s="26"/>
      <c r="AA439" s="26"/>
      <c r="AB439" s="26"/>
      <c r="AC439" s="26"/>
      <c r="AD439" s="26"/>
    </row>
    <row r="440">
      <c r="H440" s="5"/>
      <c r="O440" s="5"/>
      <c r="V440" s="5"/>
      <c r="X440" s="28"/>
      <c r="Y440" s="26"/>
      <c r="Z440" s="26"/>
      <c r="AA440" s="26"/>
      <c r="AB440" s="26"/>
      <c r="AC440" s="26"/>
      <c r="AD440" s="26"/>
    </row>
    <row r="441">
      <c r="H441" s="5"/>
      <c r="O441" s="5"/>
      <c r="V441" s="5"/>
      <c r="X441" s="29"/>
      <c r="Y441" s="26"/>
      <c r="Z441" s="26"/>
      <c r="AA441" s="26"/>
      <c r="AB441" s="26"/>
      <c r="AC441" s="26"/>
      <c r="AD441" s="26"/>
    </row>
    <row r="442">
      <c r="H442" s="5"/>
      <c r="O442" s="5"/>
      <c r="V442" s="5"/>
      <c r="X442" s="28"/>
      <c r="Y442" s="26"/>
      <c r="Z442" s="26"/>
      <c r="AA442" s="26"/>
      <c r="AB442" s="26"/>
      <c r="AC442" s="26"/>
      <c r="AD442" s="26"/>
    </row>
    <row r="443">
      <c r="H443" s="5"/>
      <c r="O443" s="5"/>
      <c r="V443" s="5"/>
      <c r="X443" s="29"/>
      <c r="Y443" s="26"/>
      <c r="Z443" s="26"/>
      <c r="AA443" s="26"/>
      <c r="AB443" s="26"/>
      <c r="AC443" s="26"/>
      <c r="AD443" s="26"/>
    </row>
    <row r="444">
      <c r="H444" s="5"/>
      <c r="O444" s="5"/>
      <c r="V444" s="5"/>
      <c r="X444" s="28"/>
      <c r="Y444" s="26"/>
      <c r="Z444" s="26"/>
      <c r="AA444" s="26"/>
      <c r="AB444" s="26"/>
      <c r="AC444" s="26"/>
      <c r="AD444" s="26"/>
    </row>
    <row r="445">
      <c r="H445" s="5"/>
      <c r="O445" s="5"/>
      <c r="V445" s="5"/>
      <c r="X445" s="29"/>
      <c r="Y445" s="26"/>
      <c r="Z445" s="26"/>
      <c r="AA445" s="26"/>
      <c r="AB445" s="26"/>
      <c r="AC445" s="26"/>
      <c r="AD445" s="26"/>
    </row>
    <row r="446">
      <c r="H446" s="5"/>
      <c r="O446" s="5"/>
      <c r="V446" s="5"/>
      <c r="X446" s="28"/>
      <c r="Y446" s="26"/>
      <c r="Z446" s="26"/>
      <c r="AA446" s="26"/>
      <c r="AB446" s="26"/>
      <c r="AC446" s="26"/>
      <c r="AD446" s="26"/>
    </row>
    <row r="447">
      <c r="H447" s="5"/>
      <c r="O447" s="5"/>
      <c r="V447" s="5"/>
      <c r="X447" s="29"/>
      <c r="Y447" s="26"/>
      <c r="Z447" s="26"/>
      <c r="AA447" s="26"/>
      <c r="AB447" s="26"/>
      <c r="AC447" s="26"/>
      <c r="AD447" s="26"/>
    </row>
    <row r="448">
      <c r="H448" s="5"/>
      <c r="O448" s="5"/>
      <c r="V448" s="5"/>
      <c r="X448" s="28"/>
      <c r="Y448" s="26"/>
      <c r="Z448" s="26"/>
      <c r="AA448" s="26"/>
      <c r="AB448" s="26"/>
      <c r="AC448" s="26"/>
      <c r="AD448" s="26"/>
    </row>
    <row r="449">
      <c r="H449" s="5"/>
      <c r="O449" s="5"/>
      <c r="V449" s="5"/>
      <c r="X449" s="29"/>
      <c r="Y449" s="26"/>
      <c r="Z449" s="26"/>
      <c r="AA449" s="26"/>
      <c r="AB449" s="26"/>
      <c r="AC449" s="26"/>
      <c r="AD449" s="26"/>
    </row>
    <row r="450">
      <c r="H450" s="5"/>
      <c r="O450" s="5"/>
      <c r="V450" s="5"/>
      <c r="X450" s="28"/>
      <c r="Y450" s="26"/>
      <c r="Z450" s="26"/>
      <c r="AA450" s="26"/>
      <c r="AB450" s="26"/>
      <c r="AC450" s="26"/>
      <c r="AD450" s="26"/>
    </row>
    <row r="451">
      <c r="H451" s="5"/>
      <c r="O451" s="5"/>
      <c r="V451" s="5"/>
      <c r="X451" s="29"/>
      <c r="Y451" s="26"/>
      <c r="Z451" s="26"/>
      <c r="AA451" s="26"/>
      <c r="AB451" s="26"/>
      <c r="AC451" s="26"/>
      <c r="AD451" s="26"/>
    </row>
    <row r="452">
      <c r="H452" s="5"/>
      <c r="O452" s="5"/>
      <c r="V452" s="5"/>
      <c r="X452" s="28"/>
      <c r="Y452" s="26"/>
      <c r="Z452" s="26"/>
      <c r="AA452" s="26"/>
      <c r="AB452" s="26"/>
      <c r="AC452" s="26"/>
      <c r="AD452" s="26"/>
    </row>
    <row r="453">
      <c r="H453" s="5"/>
      <c r="O453" s="5"/>
      <c r="V453" s="5"/>
      <c r="X453" s="29"/>
      <c r="Y453" s="26"/>
      <c r="Z453" s="26"/>
      <c r="AA453" s="26"/>
      <c r="AB453" s="26"/>
      <c r="AC453" s="26"/>
      <c r="AD453" s="26"/>
    </row>
    <row r="454">
      <c r="H454" s="5"/>
      <c r="O454" s="5"/>
      <c r="V454" s="5"/>
      <c r="X454" s="28"/>
      <c r="Y454" s="26"/>
      <c r="Z454" s="26"/>
      <c r="AA454" s="26"/>
      <c r="AB454" s="26"/>
      <c r="AC454" s="26"/>
      <c r="AD454" s="26"/>
    </row>
    <row r="455">
      <c r="H455" s="5"/>
      <c r="O455" s="5"/>
      <c r="V455" s="5"/>
      <c r="X455" s="29"/>
      <c r="Y455" s="26"/>
      <c r="Z455" s="26"/>
      <c r="AA455" s="26"/>
      <c r="AB455" s="26"/>
      <c r="AC455" s="26"/>
      <c r="AD455" s="26"/>
    </row>
    <row r="456">
      <c r="H456" s="5"/>
      <c r="O456" s="5"/>
      <c r="V456" s="5"/>
      <c r="X456" s="28"/>
      <c r="Y456" s="26"/>
      <c r="Z456" s="26"/>
      <c r="AA456" s="26"/>
      <c r="AB456" s="26"/>
      <c r="AC456" s="26"/>
      <c r="AD456" s="26"/>
    </row>
    <row r="457">
      <c r="H457" s="5"/>
      <c r="O457" s="5"/>
      <c r="V457" s="5"/>
      <c r="X457" s="29"/>
      <c r="Y457" s="26"/>
      <c r="Z457" s="26"/>
      <c r="AA457" s="26"/>
      <c r="AB457" s="26"/>
      <c r="AC457" s="26"/>
      <c r="AD457" s="26"/>
    </row>
    <row r="458">
      <c r="H458" s="5"/>
      <c r="O458" s="5"/>
      <c r="V458" s="5"/>
      <c r="X458" s="28"/>
      <c r="Y458" s="26"/>
      <c r="Z458" s="26"/>
      <c r="AA458" s="26"/>
      <c r="AB458" s="26"/>
      <c r="AC458" s="26"/>
      <c r="AD458" s="26"/>
    </row>
    <row r="459">
      <c r="H459" s="5"/>
      <c r="O459" s="5"/>
      <c r="V459" s="5"/>
      <c r="X459" s="29"/>
      <c r="Y459" s="26"/>
      <c r="Z459" s="26"/>
      <c r="AA459" s="26"/>
      <c r="AB459" s="26"/>
      <c r="AC459" s="26"/>
      <c r="AD459" s="26"/>
    </row>
    <row r="460">
      <c r="H460" s="5"/>
      <c r="O460" s="5"/>
      <c r="V460" s="5"/>
      <c r="X460" s="28"/>
      <c r="Y460" s="26"/>
      <c r="Z460" s="26"/>
      <c r="AA460" s="26"/>
      <c r="AB460" s="26"/>
      <c r="AC460" s="26"/>
      <c r="AD460" s="26"/>
    </row>
    <row r="461">
      <c r="H461" s="5"/>
      <c r="O461" s="5"/>
      <c r="V461" s="5"/>
      <c r="X461" s="29"/>
      <c r="Y461" s="26"/>
      <c r="Z461" s="26"/>
      <c r="AA461" s="26"/>
      <c r="AB461" s="26"/>
      <c r="AC461" s="26"/>
      <c r="AD461" s="26"/>
    </row>
    <row r="462">
      <c r="H462" s="5"/>
      <c r="O462" s="5"/>
      <c r="V462" s="5"/>
      <c r="X462" s="28"/>
      <c r="Y462" s="26"/>
      <c r="Z462" s="26"/>
      <c r="AA462" s="26"/>
      <c r="AB462" s="26"/>
      <c r="AC462" s="26"/>
      <c r="AD462" s="26"/>
    </row>
    <row r="463">
      <c r="H463" s="5"/>
      <c r="O463" s="5"/>
      <c r="V463" s="5"/>
      <c r="X463" s="29"/>
      <c r="Y463" s="26"/>
      <c r="Z463" s="26"/>
      <c r="AA463" s="26"/>
      <c r="AB463" s="26"/>
      <c r="AC463" s="26"/>
      <c r="AD463" s="26"/>
    </row>
    <row r="464">
      <c r="H464" s="5"/>
      <c r="O464" s="5"/>
      <c r="V464" s="5"/>
      <c r="X464" s="28"/>
      <c r="Y464" s="26"/>
      <c r="Z464" s="26"/>
      <c r="AA464" s="26"/>
      <c r="AB464" s="26"/>
      <c r="AC464" s="26"/>
      <c r="AD464" s="26"/>
    </row>
    <row r="465">
      <c r="H465" s="5"/>
      <c r="O465" s="5"/>
      <c r="V465" s="5"/>
      <c r="X465" s="29"/>
      <c r="Y465" s="26"/>
      <c r="Z465" s="26"/>
      <c r="AA465" s="26"/>
      <c r="AB465" s="26"/>
      <c r="AC465" s="26"/>
      <c r="AD465" s="26"/>
    </row>
    <row r="466">
      <c r="H466" s="5"/>
      <c r="O466" s="5"/>
      <c r="V466" s="5"/>
      <c r="X466" s="28"/>
      <c r="Y466" s="26"/>
      <c r="Z466" s="26"/>
      <c r="AA466" s="26"/>
      <c r="AB466" s="26"/>
      <c r="AC466" s="26"/>
      <c r="AD466" s="26"/>
    </row>
    <row r="467">
      <c r="H467" s="5"/>
      <c r="O467" s="5"/>
      <c r="V467" s="5"/>
      <c r="X467" s="29"/>
      <c r="Y467" s="26"/>
      <c r="Z467" s="26"/>
      <c r="AA467" s="26"/>
      <c r="AB467" s="26"/>
      <c r="AC467" s="26"/>
      <c r="AD467" s="26"/>
    </row>
    <row r="468">
      <c r="H468" s="5"/>
      <c r="O468" s="5"/>
      <c r="V468" s="5"/>
      <c r="X468" s="28"/>
      <c r="Y468" s="26"/>
      <c r="Z468" s="26"/>
      <c r="AA468" s="26"/>
      <c r="AB468" s="26"/>
      <c r="AC468" s="26"/>
      <c r="AD468" s="26"/>
    </row>
    <row r="469">
      <c r="H469" s="5"/>
      <c r="O469" s="5"/>
      <c r="V469" s="5"/>
      <c r="X469" s="29"/>
      <c r="Y469" s="26"/>
      <c r="Z469" s="26"/>
      <c r="AA469" s="26"/>
      <c r="AB469" s="26"/>
      <c r="AC469" s="26"/>
      <c r="AD469" s="26"/>
    </row>
    <row r="470">
      <c r="H470" s="5"/>
      <c r="O470" s="5"/>
      <c r="V470" s="5"/>
      <c r="X470" s="28"/>
      <c r="Y470" s="26"/>
      <c r="Z470" s="26"/>
      <c r="AA470" s="26"/>
      <c r="AB470" s="26"/>
      <c r="AC470" s="26"/>
      <c r="AD470" s="26"/>
    </row>
    <row r="471">
      <c r="H471" s="5"/>
      <c r="O471" s="5"/>
      <c r="V471" s="5"/>
      <c r="X471" s="29"/>
      <c r="Y471" s="26"/>
      <c r="Z471" s="26"/>
      <c r="AA471" s="26"/>
      <c r="AB471" s="26"/>
      <c r="AC471" s="26"/>
      <c r="AD471" s="26"/>
    </row>
    <row r="472">
      <c r="H472" s="5"/>
      <c r="O472" s="5"/>
      <c r="V472" s="5"/>
      <c r="X472" s="28"/>
      <c r="Y472" s="26"/>
      <c r="Z472" s="26"/>
      <c r="AA472" s="26"/>
      <c r="AB472" s="26"/>
      <c r="AC472" s="26"/>
      <c r="AD472" s="26"/>
    </row>
    <row r="473">
      <c r="H473" s="5"/>
      <c r="O473" s="5"/>
      <c r="V473" s="5"/>
      <c r="X473" s="29"/>
      <c r="Y473" s="26"/>
      <c r="Z473" s="26"/>
      <c r="AA473" s="26"/>
      <c r="AB473" s="26"/>
      <c r="AC473" s="26"/>
      <c r="AD473" s="26"/>
    </row>
    <row r="474">
      <c r="H474" s="5"/>
      <c r="O474" s="5"/>
      <c r="V474" s="5"/>
      <c r="X474" s="28"/>
      <c r="Y474" s="26"/>
      <c r="Z474" s="26"/>
      <c r="AA474" s="26"/>
      <c r="AB474" s="26"/>
      <c r="AC474" s="26"/>
      <c r="AD474" s="26"/>
    </row>
    <row r="475">
      <c r="H475" s="5"/>
      <c r="O475" s="5"/>
      <c r="V475" s="5"/>
      <c r="X475" s="29"/>
      <c r="Y475" s="26"/>
      <c r="Z475" s="26"/>
      <c r="AA475" s="26"/>
      <c r="AB475" s="26"/>
      <c r="AC475" s="26"/>
      <c r="AD475" s="26"/>
    </row>
    <row r="476">
      <c r="H476" s="5"/>
      <c r="O476" s="5"/>
      <c r="V476" s="5"/>
      <c r="X476" s="28"/>
      <c r="Y476" s="26"/>
      <c r="Z476" s="26"/>
      <c r="AA476" s="26"/>
      <c r="AB476" s="26"/>
      <c r="AC476" s="26"/>
      <c r="AD476" s="26"/>
    </row>
    <row r="477">
      <c r="H477" s="5"/>
      <c r="O477" s="5"/>
      <c r="V477" s="5"/>
      <c r="X477" s="29"/>
      <c r="Y477" s="26"/>
      <c r="Z477" s="26"/>
      <c r="AA477" s="26"/>
      <c r="AB477" s="26"/>
      <c r="AC477" s="26"/>
      <c r="AD477" s="26"/>
    </row>
    <row r="478">
      <c r="H478" s="5"/>
      <c r="O478" s="5"/>
      <c r="V478" s="5"/>
      <c r="X478" s="28"/>
      <c r="Y478" s="26"/>
      <c r="Z478" s="26"/>
      <c r="AA478" s="26"/>
      <c r="AB478" s="26"/>
      <c r="AC478" s="26"/>
      <c r="AD478" s="26"/>
    </row>
    <row r="479">
      <c r="H479" s="5"/>
      <c r="O479" s="5"/>
      <c r="V479" s="5"/>
      <c r="X479" s="29"/>
      <c r="Y479" s="26"/>
      <c r="Z479" s="26"/>
      <c r="AA479" s="26"/>
      <c r="AB479" s="26"/>
      <c r="AC479" s="26"/>
      <c r="AD479" s="26"/>
    </row>
    <row r="480">
      <c r="H480" s="5"/>
      <c r="O480" s="5"/>
      <c r="V480" s="5"/>
      <c r="X480" s="28"/>
      <c r="Y480" s="26"/>
      <c r="Z480" s="26"/>
      <c r="AA480" s="26"/>
      <c r="AB480" s="26"/>
      <c r="AC480" s="26"/>
      <c r="AD480" s="26"/>
    </row>
    <row r="481">
      <c r="H481" s="5"/>
      <c r="O481" s="5"/>
      <c r="V481" s="5"/>
      <c r="X481" s="29"/>
      <c r="Y481" s="26"/>
      <c r="Z481" s="26"/>
      <c r="AA481" s="26"/>
      <c r="AB481" s="26"/>
      <c r="AC481" s="26"/>
      <c r="AD481" s="26"/>
    </row>
    <row r="482">
      <c r="H482" s="5"/>
      <c r="O482" s="5"/>
      <c r="V482" s="5"/>
      <c r="X482" s="28"/>
      <c r="Y482" s="26"/>
      <c r="Z482" s="26"/>
      <c r="AA482" s="26"/>
      <c r="AB482" s="26"/>
      <c r="AC482" s="26"/>
      <c r="AD482" s="26"/>
    </row>
    <row r="483">
      <c r="H483" s="5"/>
      <c r="O483" s="5"/>
      <c r="V483" s="5"/>
      <c r="X483" s="29"/>
      <c r="Y483" s="26"/>
      <c r="Z483" s="26"/>
      <c r="AA483" s="26"/>
      <c r="AB483" s="26"/>
      <c r="AC483" s="26"/>
      <c r="AD483" s="26"/>
    </row>
    <row r="484">
      <c r="H484" s="5"/>
      <c r="O484" s="5"/>
      <c r="V484" s="5"/>
      <c r="X484" s="28"/>
      <c r="Y484" s="26"/>
      <c r="Z484" s="26"/>
      <c r="AA484" s="26"/>
      <c r="AB484" s="26"/>
      <c r="AC484" s="26"/>
      <c r="AD484" s="26"/>
    </row>
    <row r="485">
      <c r="H485" s="5"/>
      <c r="O485" s="5"/>
      <c r="V485" s="5"/>
      <c r="X485" s="29"/>
      <c r="Y485" s="26"/>
      <c r="Z485" s="26"/>
      <c r="AA485" s="26"/>
      <c r="AB485" s="26"/>
      <c r="AC485" s="26"/>
      <c r="AD485" s="26"/>
    </row>
    <row r="486">
      <c r="H486" s="5"/>
      <c r="O486" s="5"/>
      <c r="V486" s="5"/>
      <c r="X486" s="28"/>
      <c r="Y486" s="26"/>
      <c r="Z486" s="26"/>
      <c r="AA486" s="26"/>
      <c r="AB486" s="26"/>
      <c r="AC486" s="26"/>
      <c r="AD486" s="26"/>
    </row>
    <row r="487">
      <c r="H487" s="5"/>
      <c r="O487" s="5"/>
      <c r="V487" s="5"/>
      <c r="X487" s="29"/>
      <c r="Y487" s="26"/>
      <c r="Z487" s="26"/>
      <c r="AA487" s="26"/>
      <c r="AB487" s="26"/>
      <c r="AC487" s="26"/>
      <c r="AD487" s="26"/>
    </row>
    <row r="488">
      <c r="H488" s="5"/>
      <c r="O488" s="5"/>
      <c r="V488" s="5"/>
      <c r="X488" s="28"/>
      <c r="Y488" s="26"/>
      <c r="Z488" s="26"/>
      <c r="AA488" s="26"/>
      <c r="AB488" s="26"/>
      <c r="AC488" s="26"/>
      <c r="AD488" s="26"/>
    </row>
    <row r="489">
      <c r="H489" s="5"/>
      <c r="O489" s="5"/>
      <c r="V489" s="5"/>
      <c r="X489" s="29"/>
      <c r="Y489" s="26"/>
      <c r="Z489" s="26"/>
      <c r="AA489" s="26"/>
      <c r="AB489" s="26"/>
      <c r="AC489" s="26"/>
      <c r="AD489" s="26"/>
    </row>
    <row r="490">
      <c r="H490" s="5"/>
      <c r="O490" s="5"/>
      <c r="V490" s="5"/>
      <c r="X490" s="28"/>
      <c r="Y490" s="26"/>
      <c r="Z490" s="26"/>
      <c r="AA490" s="26"/>
      <c r="AB490" s="26"/>
      <c r="AC490" s="26"/>
      <c r="AD490" s="26"/>
    </row>
    <row r="491">
      <c r="H491" s="5"/>
      <c r="O491" s="5"/>
      <c r="V491" s="5"/>
      <c r="X491" s="29"/>
      <c r="Y491" s="26"/>
      <c r="Z491" s="26"/>
      <c r="AA491" s="26"/>
      <c r="AB491" s="26"/>
      <c r="AC491" s="26"/>
      <c r="AD491" s="26"/>
    </row>
    <row r="492">
      <c r="H492" s="5"/>
      <c r="O492" s="5"/>
      <c r="V492" s="5"/>
      <c r="X492" s="28"/>
      <c r="Y492" s="26"/>
      <c r="Z492" s="26"/>
      <c r="AA492" s="26"/>
      <c r="AB492" s="26"/>
      <c r="AC492" s="26"/>
      <c r="AD492" s="26"/>
    </row>
    <row r="493">
      <c r="H493" s="5"/>
      <c r="O493" s="5"/>
      <c r="V493" s="5"/>
      <c r="X493" s="29"/>
      <c r="Y493" s="26"/>
      <c r="Z493" s="26"/>
      <c r="AA493" s="26"/>
      <c r="AB493" s="26"/>
      <c r="AC493" s="26"/>
      <c r="AD493" s="26"/>
    </row>
    <row r="494">
      <c r="H494" s="5"/>
      <c r="O494" s="5"/>
      <c r="V494" s="5"/>
      <c r="X494" s="28"/>
      <c r="Y494" s="26"/>
      <c r="Z494" s="26"/>
      <c r="AA494" s="26"/>
      <c r="AB494" s="26"/>
      <c r="AC494" s="26"/>
      <c r="AD494" s="26"/>
    </row>
    <row r="495">
      <c r="H495" s="5"/>
      <c r="O495" s="5"/>
      <c r="V495" s="5"/>
      <c r="X495" s="29"/>
      <c r="Y495" s="26"/>
      <c r="Z495" s="26"/>
      <c r="AA495" s="26"/>
      <c r="AB495" s="26"/>
      <c r="AC495" s="26"/>
      <c r="AD495" s="26"/>
    </row>
    <row r="496">
      <c r="H496" s="5"/>
      <c r="O496" s="5"/>
      <c r="V496" s="5"/>
      <c r="X496" s="28"/>
      <c r="Y496" s="26"/>
      <c r="Z496" s="26"/>
      <c r="AA496" s="26"/>
      <c r="AB496" s="26"/>
      <c r="AC496" s="26"/>
      <c r="AD496" s="26"/>
    </row>
    <row r="497">
      <c r="H497" s="5"/>
      <c r="O497" s="5"/>
      <c r="V497" s="5"/>
      <c r="X497" s="29"/>
      <c r="Y497" s="26"/>
      <c r="Z497" s="26"/>
      <c r="AA497" s="26"/>
      <c r="AB497" s="26"/>
      <c r="AC497" s="26"/>
      <c r="AD497" s="26"/>
    </row>
    <row r="498">
      <c r="H498" s="5"/>
      <c r="O498" s="5"/>
      <c r="V498" s="5"/>
      <c r="X498" s="28"/>
      <c r="Y498" s="26"/>
      <c r="Z498" s="26"/>
      <c r="AA498" s="26"/>
      <c r="AB498" s="26"/>
      <c r="AC498" s="26"/>
      <c r="AD498" s="26"/>
    </row>
    <row r="499">
      <c r="H499" s="5"/>
      <c r="O499" s="5"/>
      <c r="V499" s="5"/>
      <c r="X499" s="29"/>
      <c r="Y499" s="26"/>
      <c r="Z499" s="26"/>
      <c r="AA499" s="26"/>
      <c r="AB499" s="26"/>
      <c r="AC499" s="26"/>
      <c r="AD499" s="26"/>
    </row>
    <row r="500">
      <c r="H500" s="5"/>
      <c r="O500" s="5"/>
      <c r="V500" s="5"/>
      <c r="X500" s="28"/>
      <c r="Y500" s="26"/>
      <c r="Z500" s="26"/>
      <c r="AA500" s="26"/>
      <c r="AB500" s="26"/>
      <c r="AC500" s="26"/>
      <c r="AD500" s="26"/>
    </row>
    <row r="501">
      <c r="H501" s="5"/>
      <c r="O501" s="5"/>
      <c r="V501" s="5"/>
      <c r="X501" s="29"/>
      <c r="Y501" s="26"/>
      <c r="Z501" s="26"/>
      <c r="AA501" s="26"/>
      <c r="AB501" s="26"/>
      <c r="AC501" s="26"/>
      <c r="AD501" s="26"/>
    </row>
    <row r="502">
      <c r="H502" s="5"/>
      <c r="O502" s="5"/>
      <c r="V502" s="5"/>
      <c r="X502" s="28"/>
      <c r="Y502" s="26"/>
      <c r="Z502" s="26"/>
      <c r="AA502" s="26"/>
      <c r="AB502" s="26"/>
      <c r="AC502" s="26"/>
      <c r="AD502" s="26"/>
    </row>
    <row r="503">
      <c r="H503" s="5"/>
      <c r="O503" s="5"/>
      <c r="V503" s="5"/>
      <c r="X503" s="29"/>
      <c r="Y503" s="26"/>
      <c r="Z503" s="26"/>
      <c r="AA503" s="26"/>
      <c r="AB503" s="26"/>
      <c r="AC503" s="26"/>
      <c r="AD503" s="26"/>
    </row>
    <row r="504">
      <c r="H504" s="5"/>
      <c r="O504" s="5"/>
      <c r="V504" s="5"/>
      <c r="X504" s="28"/>
      <c r="Y504" s="26"/>
      <c r="Z504" s="26"/>
      <c r="AA504" s="26"/>
      <c r="AB504" s="26"/>
      <c r="AC504" s="26"/>
      <c r="AD504" s="26"/>
    </row>
    <row r="505">
      <c r="H505" s="5"/>
      <c r="O505" s="5"/>
      <c r="V505" s="5"/>
      <c r="X505" s="29"/>
      <c r="Y505" s="26"/>
      <c r="Z505" s="26"/>
      <c r="AA505" s="26"/>
      <c r="AB505" s="26"/>
      <c r="AC505" s="26"/>
      <c r="AD505" s="26"/>
    </row>
    <row r="506">
      <c r="H506" s="5"/>
      <c r="O506" s="5"/>
      <c r="V506" s="5"/>
      <c r="X506" s="28"/>
      <c r="Y506" s="26"/>
      <c r="Z506" s="26"/>
      <c r="AA506" s="26"/>
      <c r="AB506" s="26"/>
      <c r="AC506" s="26"/>
      <c r="AD506" s="26"/>
    </row>
    <row r="507">
      <c r="H507" s="5"/>
      <c r="O507" s="5"/>
      <c r="V507" s="5"/>
      <c r="X507" s="29"/>
      <c r="Y507" s="26"/>
      <c r="Z507" s="26"/>
      <c r="AA507" s="26"/>
      <c r="AB507" s="26"/>
      <c r="AC507" s="26"/>
      <c r="AD507" s="26"/>
    </row>
    <row r="508">
      <c r="H508" s="5"/>
      <c r="O508" s="5"/>
      <c r="V508" s="5"/>
      <c r="X508" s="28"/>
      <c r="Y508" s="26"/>
      <c r="Z508" s="26"/>
      <c r="AA508" s="26"/>
      <c r="AB508" s="26"/>
      <c r="AC508" s="26"/>
      <c r="AD508" s="26"/>
    </row>
    <row r="509">
      <c r="H509" s="5"/>
      <c r="O509" s="5"/>
      <c r="V509" s="5"/>
      <c r="X509" s="29"/>
      <c r="Y509" s="26"/>
      <c r="Z509" s="26"/>
      <c r="AA509" s="26"/>
      <c r="AB509" s="26"/>
      <c r="AC509" s="26"/>
      <c r="AD509" s="26"/>
    </row>
    <row r="510">
      <c r="H510" s="5"/>
      <c r="O510" s="5"/>
      <c r="V510" s="5"/>
      <c r="X510" s="28"/>
      <c r="Y510" s="26"/>
      <c r="Z510" s="26"/>
      <c r="AA510" s="26"/>
      <c r="AB510" s="26"/>
      <c r="AC510" s="26"/>
      <c r="AD510" s="26"/>
    </row>
    <row r="511">
      <c r="H511" s="5"/>
      <c r="O511" s="5"/>
      <c r="V511" s="5"/>
      <c r="X511" s="29"/>
      <c r="Y511" s="26"/>
      <c r="Z511" s="26"/>
      <c r="AA511" s="26"/>
      <c r="AB511" s="26"/>
      <c r="AC511" s="26"/>
      <c r="AD511" s="26"/>
    </row>
    <row r="512">
      <c r="H512" s="5"/>
      <c r="O512" s="5"/>
      <c r="V512" s="5"/>
      <c r="X512" s="28"/>
      <c r="Y512" s="26"/>
      <c r="Z512" s="26"/>
      <c r="AA512" s="26"/>
      <c r="AB512" s="26"/>
      <c r="AC512" s="26"/>
      <c r="AD512" s="26"/>
    </row>
    <row r="513">
      <c r="H513" s="5"/>
      <c r="O513" s="5"/>
      <c r="V513" s="5"/>
      <c r="X513" s="29"/>
      <c r="Y513" s="26"/>
      <c r="Z513" s="26"/>
      <c r="AA513" s="26"/>
      <c r="AB513" s="26"/>
      <c r="AC513" s="26"/>
      <c r="AD513" s="26"/>
    </row>
    <row r="514">
      <c r="H514" s="5"/>
      <c r="O514" s="5"/>
      <c r="V514" s="5"/>
      <c r="X514" s="28"/>
      <c r="Y514" s="26"/>
      <c r="Z514" s="26"/>
      <c r="AA514" s="26"/>
      <c r="AB514" s="26"/>
      <c r="AC514" s="26"/>
      <c r="AD514" s="26"/>
    </row>
    <row r="515">
      <c r="H515" s="5"/>
      <c r="O515" s="5"/>
      <c r="V515" s="5"/>
      <c r="X515" s="29"/>
      <c r="Y515" s="26"/>
      <c r="Z515" s="26"/>
      <c r="AA515" s="26"/>
      <c r="AB515" s="26"/>
      <c r="AC515" s="26"/>
      <c r="AD515" s="26"/>
    </row>
    <row r="516">
      <c r="H516" s="5"/>
      <c r="O516" s="5"/>
      <c r="V516" s="5"/>
      <c r="X516" s="28"/>
      <c r="Y516" s="26"/>
      <c r="Z516" s="26"/>
      <c r="AA516" s="26"/>
      <c r="AB516" s="26"/>
      <c r="AC516" s="26"/>
      <c r="AD516" s="26"/>
    </row>
    <row r="517">
      <c r="H517" s="5"/>
      <c r="O517" s="5"/>
      <c r="V517" s="5"/>
      <c r="X517" s="29"/>
      <c r="Y517" s="26"/>
      <c r="Z517" s="26"/>
      <c r="AA517" s="26"/>
      <c r="AB517" s="26"/>
      <c r="AC517" s="26"/>
      <c r="AD517" s="26"/>
    </row>
    <row r="518">
      <c r="H518" s="5"/>
      <c r="O518" s="5"/>
      <c r="V518" s="5"/>
      <c r="X518" s="28"/>
      <c r="Y518" s="26"/>
      <c r="Z518" s="26"/>
      <c r="AA518" s="26"/>
      <c r="AB518" s="26"/>
      <c r="AC518" s="26"/>
      <c r="AD518" s="26"/>
    </row>
    <row r="519">
      <c r="H519" s="5"/>
      <c r="O519" s="5"/>
      <c r="V519" s="5"/>
      <c r="X519" s="29"/>
      <c r="Y519" s="26"/>
      <c r="Z519" s="26"/>
      <c r="AA519" s="26"/>
      <c r="AB519" s="26"/>
      <c r="AC519" s="26"/>
      <c r="AD519" s="26"/>
    </row>
    <row r="520">
      <c r="H520" s="5"/>
      <c r="O520" s="5"/>
      <c r="V520" s="5"/>
      <c r="X520" s="28"/>
      <c r="Y520" s="26"/>
      <c r="Z520" s="26"/>
      <c r="AA520" s="26"/>
      <c r="AB520" s="26"/>
      <c r="AC520" s="26"/>
      <c r="AD520" s="26"/>
    </row>
    <row r="521">
      <c r="H521" s="5"/>
      <c r="O521" s="5"/>
      <c r="V521" s="5"/>
      <c r="X521" s="29"/>
      <c r="Y521" s="26"/>
      <c r="Z521" s="26"/>
      <c r="AA521" s="26"/>
      <c r="AB521" s="26"/>
      <c r="AC521" s="26"/>
      <c r="AD521" s="26"/>
    </row>
    <row r="522">
      <c r="H522" s="5"/>
      <c r="O522" s="5"/>
      <c r="V522" s="5"/>
      <c r="X522" s="28"/>
      <c r="Y522" s="26"/>
      <c r="Z522" s="26"/>
      <c r="AA522" s="26"/>
      <c r="AB522" s="26"/>
      <c r="AC522" s="26"/>
      <c r="AD522" s="26"/>
    </row>
    <row r="523">
      <c r="H523" s="5"/>
      <c r="O523" s="5"/>
      <c r="V523" s="5"/>
      <c r="X523" s="29"/>
      <c r="Y523" s="26"/>
      <c r="Z523" s="26"/>
      <c r="AA523" s="26"/>
      <c r="AB523" s="26"/>
      <c r="AC523" s="26"/>
      <c r="AD523" s="26"/>
    </row>
    <row r="524">
      <c r="H524" s="5"/>
      <c r="O524" s="5"/>
      <c r="V524" s="5"/>
      <c r="X524" s="28"/>
      <c r="Y524" s="26"/>
      <c r="Z524" s="26"/>
      <c r="AA524" s="26"/>
      <c r="AB524" s="26"/>
      <c r="AC524" s="26"/>
      <c r="AD524" s="26"/>
    </row>
    <row r="525">
      <c r="H525" s="5"/>
      <c r="O525" s="5"/>
      <c r="V525" s="5"/>
      <c r="X525" s="29"/>
      <c r="Y525" s="26"/>
      <c r="Z525" s="26"/>
      <c r="AA525" s="26"/>
      <c r="AB525" s="26"/>
      <c r="AC525" s="26"/>
      <c r="AD525" s="26"/>
    </row>
    <row r="526">
      <c r="H526" s="5"/>
      <c r="O526" s="5"/>
      <c r="V526" s="5"/>
      <c r="X526" s="28"/>
      <c r="Y526" s="26"/>
      <c r="Z526" s="26"/>
      <c r="AA526" s="26"/>
      <c r="AB526" s="26"/>
      <c r="AC526" s="26"/>
      <c r="AD526" s="26"/>
    </row>
    <row r="527">
      <c r="H527" s="5"/>
      <c r="O527" s="5"/>
      <c r="V527" s="5"/>
      <c r="X527" s="29"/>
      <c r="Y527" s="26"/>
      <c r="Z527" s="26"/>
      <c r="AA527" s="26"/>
      <c r="AB527" s="26"/>
      <c r="AC527" s="26"/>
      <c r="AD527" s="26"/>
    </row>
    <row r="528">
      <c r="H528" s="5"/>
      <c r="O528" s="5"/>
      <c r="V528" s="5"/>
      <c r="X528" s="28"/>
      <c r="Y528" s="26"/>
      <c r="Z528" s="26"/>
      <c r="AA528" s="26"/>
      <c r="AB528" s="26"/>
      <c r="AC528" s="26"/>
      <c r="AD528" s="26"/>
    </row>
    <row r="529">
      <c r="H529" s="5"/>
      <c r="O529" s="5"/>
      <c r="V529" s="5"/>
      <c r="X529" s="29"/>
      <c r="Y529" s="26"/>
      <c r="Z529" s="26"/>
      <c r="AA529" s="26"/>
      <c r="AB529" s="26"/>
      <c r="AC529" s="26"/>
      <c r="AD529" s="26"/>
    </row>
    <row r="530">
      <c r="H530" s="5"/>
      <c r="O530" s="5"/>
      <c r="V530" s="5"/>
      <c r="X530" s="28"/>
      <c r="Y530" s="26"/>
      <c r="Z530" s="26"/>
      <c r="AA530" s="26"/>
      <c r="AB530" s="26"/>
      <c r="AC530" s="26"/>
      <c r="AD530" s="26"/>
    </row>
    <row r="531">
      <c r="H531" s="5"/>
      <c r="O531" s="5"/>
      <c r="V531" s="5"/>
      <c r="X531" s="29"/>
      <c r="Y531" s="26"/>
      <c r="Z531" s="26"/>
      <c r="AA531" s="26"/>
      <c r="AB531" s="26"/>
      <c r="AC531" s="26"/>
      <c r="AD531" s="26"/>
    </row>
    <row r="532">
      <c r="H532" s="5"/>
      <c r="O532" s="5"/>
      <c r="V532" s="5"/>
      <c r="X532" s="28"/>
      <c r="Y532" s="26"/>
      <c r="Z532" s="26"/>
      <c r="AA532" s="26"/>
      <c r="AB532" s="26"/>
      <c r="AC532" s="26"/>
      <c r="AD532" s="26"/>
    </row>
    <row r="533">
      <c r="H533" s="5"/>
      <c r="O533" s="5"/>
      <c r="V533" s="5"/>
      <c r="X533" s="29"/>
      <c r="Y533" s="26"/>
      <c r="Z533" s="26"/>
      <c r="AA533" s="26"/>
      <c r="AB533" s="26"/>
      <c r="AC533" s="26"/>
      <c r="AD533" s="26"/>
    </row>
    <row r="534">
      <c r="H534" s="5"/>
      <c r="O534" s="5"/>
      <c r="V534" s="5"/>
      <c r="X534" s="28"/>
      <c r="Y534" s="26"/>
      <c r="Z534" s="26"/>
      <c r="AA534" s="26"/>
      <c r="AB534" s="26"/>
      <c r="AC534" s="26"/>
      <c r="AD534" s="26"/>
    </row>
    <row r="535">
      <c r="H535" s="5"/>
      <c r="O535" s="5"/>
      <c r="V535" s="5"/>
      <c r="X535" s="29"/>
      <c r="Y535" s="26"/>
      <c r="Z535" s="26"/>
      <c r="AA535" s="26"/>
      <c r="AB535" s="26"/>
      <c r="AC535" s="26"/>
      <c r="AD535" s="26"/>
    </row>
    <row r="536">
      <c r="H536" s="5"/>
      <c r="O536" s="5"/>
      <c r="V536" s="5"/>
      <c r="X536" s="28"/>
      <c r="Y536" s="26"/>
      <c r="Z536" s="26"/>
      <c r="AA536" s="26"/>
      <c r="AB536" s="26"/>
      <c r="AC536" s="26"/>
      <c r="AD536" s="26"/>
    </row>
    <row r="537">
      <c r="H537" s="5"/>
      <c r="O537" s="5"/>
      <c r="V537" s="5"/>
      <c r="X537" s="29"/>
      <c r="Y537" s="26"/>
      <c r="Z537" s="26"/>
      <c r="AA537" s="26"/>
      <c r="AB537" s="26"/>
      <c r="AC537" s="26"/>
      <c r="AD537" s="26"/>
    </row>
    <row r="538">
      <c r="H538" s="5"/>
      <c r="O538" s="5"/>
      <c r="V538" s="5"/>
      <c r="X538" s="28"/>
      <c r="Y538" s="26"/>
      <c r="Z538" s="26"/>
      <c r="AA538" s="26"/>
      <c r="AB538" s="26"/>
      <c r="AC538" s="26"/>
      <c r="AD538" s="26"/>
    </row>
    <row r="539">
      <c r="H539" s="5"/>
      <c r="O539" s="5"/>
      <c r="V539" s="5"/>
      <c r="X539" s="29"/>
      <c r="Y539" s="26"/>
      <c r="Z539" s="26"/>
      <c r="AA539" s="26"/>
      <c r="AB539" s="26"/>
      <c r="AC539" s="26"/>
      <c r="AD539" s="26"/>
    </row>
    <row r="540">
      <c r="H540" s="5"/>
      <c r="O540" s="5"/>
      <c r="V540" s="5"/>
      <c r="X540" s="28"/>
      <c r="Y540" s="26"/>
      <c r="Z540" s="26"/>
      <c r="AA540" s="26"/>
      <c r="AB540" s="26"/>
      <c r="AC540" s="26"/>
      <c r="AD540" s="26"/>
    </row>
    <row r="541">
      <c r="H541" s="5"/>
      <c r="O541" s="5"/>
      <c r="V541" s="5"/>
      <c r="X541" s="29"/>
      <c r="Y541" s="26"/>
      <c r="Z541" s="26"/>
      <c r="AA541" s="26"/>
      <c r="AB541" s="26"/>
      <c r="AC541" s="26"/>
      <c r="AD541" s="26"/>
    </row>
    <row r="542">
      <c r="H542" s="5"/>
      <c r="O542" s="5"/>
      <c r="V542" s="5"/>
      <c r="X542" s="28"/>
      <c r="Y542" s="26"/>
      <c r="Z542" s="26"/>
      <c r="AA542" s="26"/>
      <c r="AB542" s="26"/>
      <c r="AC542" s="26"/>
      <c r="AD542" s="26"/>
    </row>
    <row r="543">
      <c r="H543" s="5"/>
      <c r="O543" s="5"/>
      <c r="V543" s="5"/>
      <c r="X543" s="29"/>
      <c r="Y543" s="26"/>
      <c r="Z543" s="26"/>
      <c r="AA543" s="26"/>
      <c r="AB543" s="26"/>
      <c r="AC543" s="26"/>
      <c r="AD543" s="26"/>
    </row>
    <row r="544">
      <c r="H544" s="5"/>
      <c r="O544" s="5"/>
      <c r="V544" s="5"/>
      <c r="X544" s="28"/>
      <c r="Y544" s="26"/>
      <c r="Z544" s="26"/>
      <c r="AA544" s="26"/>
      <c r="AB544" s="26"/>
      <c r="AC544" s="26"/>
      <c r="AD544" s="26"/>
    </row>
    <row r="545">
      <c r="H545" s="5"/>
      <c r="O545" s="5"/>
      <c r="V545" s="5"/>
      <c r="X545" s="29"/>
      <c r="Y545" s="26"/>
      <c r="Z545" s="26"/>
      <c r="AA545" s="26"/>
      <c r="AB545" s="26"/>
      <c r="AC545" s="26"/>
      <c r="AD545" s="26"/>
    </row>
    <row r="546">
      <c r="H546" s="5"/>
      <c r="O546" s="5"/>
      <c r="V546" s="5"/>
      <c r="X546" s="28"/>
      <c r="Y546" s="26"/>
      <c r="Z546" s="26"/>
      <c r="AA546" s="26"/>
      <c r="AB546" s="26"/>
      <c r="AC546" s="26"/>
      <c r="AD546" s="26"/>
    </row>
    <row r="547">
      <c r="H547" s="5"/>
      <c r="O547" s="5"/>
      <c r="V547" s="5"/>
      <c r="X547" s="29"/>
      <c r="Y547" s="26"/>
      <c r="Z547" s="26"/>
      <c r="AA547" s="26"/>
      <c r="AB547" s="26"/>
      <c r="AC547" s="26"/>
      <c r="AD547" s="26"/>
    </row>
    <row r="548">
      <c r="H548" s="5"/>
      <c r="O548" s="5"/>
      <c r="V548" s="5"/>
      <c r="X548" s="28"/>
      <c r="Y548" s="26"/>
      <c r="Z548" s="26"/>
      <c r="AA548" s="26"/>
      <c r="AB548" s="26"/>
      <c r="AC548" s="26"/>
      <c r="AD548" s="26"/>
    </row>
    <row r="549">
      <c r="H549" s="5"/>
      <c r="O549" s="5"/>
      <c r="V549" s="5"/>
      <c r="X549" s="29"/>
      <c r="Y549" s="26"/>
      <c r="Z549" s="26"/>
      <c r="AA549" s="26"/>
      <c r="AB549" s="26"/>
      <c r="AC549" s="26"/>
      <c r="AD549" s="26"/>
    </row>
    <row r="550">
      <c r="H550" s="5"/>
      <c r="O550" s="5"/>
      <c r="V550" s="5"/>
      <c r="X550" s="28"/>
      <c r="Y550" s="26"/>
      <c r="Z550" s="26"/>
      <c r="AA550" s="26"/>
      <c r="AB550" s="26"/>
      <c r="AC550" s="26"/>
      <c r="AD550" s="26"/>
    </row>
    <row r="551">
      <c r="H551" s="5"/>
      <c r="O551" s="5"/>
      <c r="V551" s="5"/>
      <c r="X551" s="29"/>
      <c r="Y551" s="26"/>
      <c r="Z551" s="26"/>
      <c r="AA551" s="26"/>
      <c r="AB551" s="26"/>
      <c r="AC551" s="26"/>
      <c r="AD551" s="26"/>
    </row>
    <row r="552">
      <c r="H552" s="5"/>
      <c r="O552" s="5"/>
      <c r="V552" s="5"/>
      <c r="X552" s="28"/>
      <c r="Y552" s="26"/>
      <c r="Z552" s="26"/>
      <c r="AA552" s="26"/>
      <c r="AB552" s="26"/>
      <c r="AC552" s="26"/>
      <c r="AD552" s="26"/>
    </row>
    <row r="553">
      <c r="H553" s="5"/>
      <c r="O553" s="5"/>
      <c r="V553" s="5"/>
      <c r="X553" s="29"/>
      <c r="Y553" s="26"/>
      <c r="Z553" s="26"/>
      <c r="AA553" s="26"/>
      <c r="AB553" s="26"/>
      <c r="AC553" s="26"/>
      <c r="AD553" s="26"/>
    </row>
    <row r="554">
      <c r="H554" s="5"/>
      <c r="O554" s="5"/>
      <c r="V554" s="5"/>
      <c r="X554" s="28"/>
      <c r="Y554" s="26"/>
      <c r="Z554" s="26"/>
      <c r="AA554" s="26"/>
      <c r="AB554" s="26"/>
      <c r="AC554" s="26"/>
      <c r="AD554" s="26"/>
    </row>
    <row r="555">
      <c r="H555" s="5"/>
      <c r="O555" s="5"/>
      <c r="V555" s="5"/>
      <c r="X555" s="29"/>
      <c r="Y555" s="26"/>
      <c r="Z555" s="26"/>
      <c r="AA555" s="26"/>
      <c r="AB555" s="26"/>
      <c r="AC555" s="26"/>
      <c r="AD555" s="26"/>
    </row>
    <row r="556">
      <c r="H556" s="5"/>
      <c r="O556" s="5"/>
      <c r="V556" s="5"/>
      <c r="X556" s="28"/>
      <c r="Y556" s="26"/>
      <c r="Z556" s="26"/>
      <c r="AA556" s="26"/>
      <c r="AB556" s="26"/>
      <c r="AC556" s="26"/>
      <c r="AD556" s="26"/>
    </row>
    <row r="557">
      <c r="H557" s="5"/>
      <c r="O557" s="5"/>
      <c r="V557" s="5"/>
      <c r="X557" s="29"/>
      <c r="Y557" s="26"/>
      <c r="Z557" s="26"/>
      <c r="AA557" s="26"/>
      <c r="AB557" s="26"/>
      <c r="AC557" s="26"/>
      <c r="AD557" s="26"/>
    </row>
    <row r="558">
      <c r="H558" s="5"/>
      <c r="O558" s="5"/>
      <c r="V558" s="5"/>
      <c r="X558" s="28"/>
      <c r="Y558" s="26"/>
      <c r="Z558" s="26"/>
      <c r="AA558" s="26"/>
      <c r="AB558" s="26"/>
      <c r="AC558" s="26"/>
      <c r="AD558" s="26"/>
    </row>
    <row r="559">
      <c r="H559" s="5"/>
      <c r="O559" s="5"/>
      <c r="V559" s="5"/>
      <c r="X559" s="29"/>
      <c r="Y559" s="26"/>
      <c r="Z559" s="26"/>
      <c r="AA559" s="26"/>
      <c r="AB559" s="26"/>
      <c r="AC559" s="26"/>
      <c r="AD559" s="26"/>
    </row>
    <row r="560">
      <c r="H560" s="5"/>
      <c r="O560" s="5"/>
      <c r="V560" s="5"/>
      <c r="X560" s="28"/>
      <c r="Y560" s="26"/>
      <c r="Z560" s="26"/>
      <c r="AA560" s="26"/>
      <c r="AB560" s="26"/>
      <c r="AC560" s="26"/>
      <c r="AD560" s="26"/>
    </row>
    <row r="561">
      <c r="H561" s="5"/>
      <c r="O561" s="5"/>
      <c r="V561" s="5"/>
      <c r="X561" s="29"/>
      <c r="Y561" s="26"/>
      <c r="Z561" s="26"/>
      <c r="AA561" s="26"/>
      <c r="AB561" s="26"/>
      <c r="AC561" s="26"/>
      <c r="AD561" s="26"/>
    </row>
    <row r="562">
      <c r="H562" s="5"/>
      <c r="O562" s="5"/>
      <c r="V562" s="5"/>
      <c r="X562" s="28"/>
      <c r="Y562" s="26"/>
      <c r="Z562" s="26"/>
      <c r="AA562" s="26"/>
      <c r="AB562" s="26"/>
      <c r="AC562" s="26"/>
      <c r="AD562" s="26"/>
    </row>
    <row r="563">
      <c r="H563" s="5"/>
      <c r="O563" s="5"/>
      <c r="V563" s="5"/>
      <c r="X563" s="29"/>
      <c r="Y563" s="26"/>
      <c r="Z563" s="26"/>
      <c r="AA563" s="26"/>
      <c r="AB563" s="26"/>
      <c r="AC563" s="26"/>
      <c r="AD563" s="26"/>
    </row>
    <row r="564">
      <c r="H564" s="5"/>
      <c r="O564" s="5"/>
      <c r="V564" s="5"/>
      <c r="X564" s="28"/>
      <c r="Y564" s="26"/>
      <c r="Z564" s="26"/>
      <c r="AA564" s="26"/>
      <c r="AB564" s="26"/>
      <c r="AC564" s="26"/>
      <c r="AD564" s="26"/>
    </row>
    <row r="565">
      <c r="H565" s="5"/>
      <c r="O565" s="5"/>
      <c r="V565" s="5"/>
      <c r="X565" s="29"/>
      <c r="Y565" s="26"/>
      <c r="Z565" s="26"/>
      <c r="AA565" s="26"/>
      <c r="AB565" s="26"/>
      <c r="AC565" s="26"/>
      <c r="AD565" s="26"/>
    </row>
    <row r="566">
      <c r="H566" s="5"/>
      <c r="O566" s="5"/>
      <c r="V566" s="5"/>
      <c r="X566" s="28"/>
      <c r="Y566" s="26"/>
      <c r="Z566" s="26"/>
      <c r="AA566" s="26"/>
      <c r="AB566" s="26"/>
      <c r="AC566" s="26"/>
      <c r="AD566" s="26"/>
    </row>
    <row r="567">
      <c r="H567" s="5"/>
      <c r="O567" s="5"/>
      <c r="V567" s="5"/>
      <c r="X567" s="29"/>
      <c r="Y567" s="26"/>
      <c r="Z567" s="26"/>
      <c r="AA567" s="26"/>
      <c r="AB567" s="26"/>
      <c r="AC567" s="26"/>
      <c r="AD567" s="26"/>
    </row>
    <row r="568">
      <c r="H568" s="5"/>
      <c r="O568" s="5"/>
      <c r="V568" s="5"/>
      <c r="X568" s="28"/>
      <c r="Y568" s="26"/>
      <c r="Z568" s="26"/>
      <c r="AA568" s="26"/>
      <c r="AB568" s="26"/>
      <c r="AC568" s="26"/>
      <c r="AD568" s="26"/>
    </row>
    <row r="569">
      <c r="H569" s="5"/>
      <c r="O569" s="5"/>
      <c r="V569" s="5"/>
      <c r="X569" s="29"/>
      <c r="Y569" s="26"/>
      <c r="Z569" s="26"/>
      <c r="AA569" s="26"/>
      <c r="AB569" s="26"/>
      <c r="AC569" s="26"/>
      <c r="AD569" s="26"/>
    </row>
    <row r="570">
      <c r="H570" s="5"/>
      <c r="O570" s="5"/>
      <c r="V570" s="5"/>
      <c r="X570" s="28"/>
      <c r="Y570" s="26"/>
      <c r="Z570" s="26"/>
      <c r="AA570" s="26"/>
      <c r="AB570" s="26"/>
      <c r="AC570" s="26"/>
      <c r="AD570" s="26"/>
    </row>
    <row r="571">
      <c r="H571" s="5"/>
      <c r="O571" s="5"/>
      <c r="V571" s="5"/>
      <c r="X571" s="29"/>
      <c r="Y571" s="26"/>
      <c r="Z571" s="26"/>
      <c r="AA571" s="26"/>
      <c r="AB571" s="26"/>
      <c r="AC571" s="26"/>
      <c r="AD571" s="26"/>
    </row>
    <row r="572">
      <c r="H572" s="5"/>
      <c r="O572" s="5"/>
      <c r="V572" s="5"/>
      <c r="X572" s="28"/>
      <c r="Y572" s="26"/>
      <c r="Z572" s="26"/>
      <c r="AA572" s="26"/>
      <c r="AB572" s="26"/>
      <c r="AC572" s="26"/>
      <c r="AD572" s="26"/>
    </row>
    <row r="573">
      <c r="H573" s="5"/>
      <c r="O573" s="5"/>
      <c r="V573" s="5"/>
      <c r="X573" s="29"/>
      <c r="Y573" s="26"/>
      <c r="Z573" s="26"/>
      <c r="AA573" s="26"/>
      <c r="AB573" s="26"/>
      <c r="AC573" s="26"/>
      <c r="AD573" s="26"/>
    </row>
    <row r="574">
      <c r="H574" s="5"/>
      <c r="O574" s="5"/>
      <c r="V574" s="5"/>
      <c r="X574" s="28"/>
      <c r="Y574" s="26"/>
      <c r="Z574" s="26"/>
      <c r="AA574" s="26"/>
      <c r="AB574" s="26"/>
      <c r="AC574" s="26"/>
      <c r="AD574" s="26"/>
    </row>
    <row r="575">
      <c r="H575" s="5"/>
      <c r="O575" s="5"/>
      <c r="V575" s="5"/>
      <c r="X575" s="29"/>
      <c r="Y575" s="26"/>
      <c r="Z575" s="26"/>
      <c r="AA575" s="26"/>
      <c r="AB575" s="26"/>
      <c r="AC575" s="26"/>
      <c r="AD575" s="26"/>
    </row>
    <row r="576">
      <c r="H576" s="5"/>
      <c r="O576" s="5"/>
      <c r="V576" s="5"/>
      <c r="X576" s="28"/>
      <c r="Y576" s="26"/>
      <c r="Z576" s="26"/>
      <c r="AA576" s="26"/>
      <c r="AB576" s="26"/>
      <c r="AC576" s="26"/>
      <c r="AD576" s="26"/>
    </row>
    <row r="577">
      <c r="H577" s="5"/>
      <c r="O577" s="5"/>
      <c r="V577" s="5"/>
      <c r="X577" s="29"/>
      <c r="Y577" s="26"/>
      <c r="Z577" s="26"/>
      <c r="AA577" s="26"/>
      <c r="AB577" s="26"/>
      <c r="AC577" s="26"/>
      <c r="AD577" s="26"/>
    </row>
    <row r="578">
      <c r="H578" s="5"/>
      <c r="O578" s="5"/>
      <c r="V578" s="5"/>
      <c r="X578" s="28"/>
      <c r="Y578" s="26"/>
      <c r="Z578" s="26"/>
      <c r="AA578" s="26"/>
      <c r="AB578" s="26"/>
      <c r="AC578" s="26"/>
      <c r="AD578" s="26"/>
    </row>
    <row r="579">
      <c r="H579" s="5"/>
      <c r="O579" s="5"/>
      <c r="V579" s="5"/>
      <c r="X579" s="29"/>
      <c r="Y579" s="26"/>
      <c r="Z579" s="26"/>
      <c r="AA579" s="26"/>
      <c r="AB579" s="26"/>
      <c r="AC579" s="26"/>
      <c r="AD579" s="26"/>
    </row>
    <row r="580">
      <c r="H580" s="5"/>
      <c r="O580" s="5"/>
      <c r="V580" s="5"/>
      <c r="X580" s="28"/>
      <c r="Y580" s="26"/>
      <c r="Z580" s="26"/>
      <c r="AA580" s="26"/>
      <c r="AB580" s="26"/>
      <c r="AC580" s="26"/>
      <c r="AD580" s="26"/>
    </row>
    <row r="581">
      <c r="H581" s="5"/>
      <c r="O581" s="5"/>
      <c r="V581" s="5"/>
      <c r="X581" s="29"/>
      <c r="Y581" s="26"/>
      <c r="Z581" s="26"/>
      <c r="AA581" s="26"/>
      <c r="AB581" s="26"/>
      <c r="AC581" s="26"/>
      <c r="AD581" s="26"/>
    </row>
    <row r="582">
      <c r="H582" s="5"/>
      <c r="O582" s="5"/>
      <c r="V582" s="5"/>
      <c r="X582" s="28"/>
      <c r="Y582" s="26"/>
      <c r="Z582" s="26"/>
      <c r="AA582" s="26"/>
      <c r="AB582" s="26"/>
      <c r="AC582" s="26"/>
      <c r="AD582" s="26"/>
    </row>
    <row r="583">
      <c r="H583" s="5"/>
      <c r="O583" s="5"/>
      <c r="V583" s="5"/>
      <c r="X583" s="29"/>
      <c r="Y583" s="26"/>
      <c r="Z583" s="26"/>
      <c r="AA583" s="26"/>
      <c r="AB583" s="26"/>
      <c r="AC583" s="26"/>
      <c r="AD583" s="26"/>
    </row>
    <row r="584">
      <c r="H584" s="5"/>
      <c r="O584" s="5"/>
      <c r="V584" s="5"/>
      <c r="X584" s="28"/>
      <c r="Y584" s="26"/>
      <c r="Z584" s="26"/>
      <c r="AA584" s="26"/>
      <c r="AB584" s="26"/>
      <c r="AC584" s="26"/>
      <c r="AD584" s="26"/>
    </row>
    <row r="585">
      <c r="H585" s="5"/>
      <c r="O585" s="5"/>
      <c r="V585" s="5"/>
      <c r="X585" s="29"/>
      <c r="Y585" s="26"/>
      <c r="Z585" s="26"/>
      <c r="AA585" s="26"/>
      <c r="AB585" s="26"/>
      <c r="AC585" s="26"/>
      <c r="AD585" s="26"/>
    </row>
    <row r="586">
      <c r="H586" s="5"/>
      <c r="O586" s="5"/>
      <c r="V586" s="5"/>
      <c r="X586" s="28"/>
      <c r="Y586" s="26"/>
      <c r="Z586" s="26"/>
      <c r="AA586" s="26"/>
      <c r="AB586" s="26"/>
      <c r="AC586" s="26"/>
      <c r="AD586" s="26"/>
    </row>
    <row r="587">
      <c r="H587" s="5"/>
      <c r="O587" s="5"/>
      <c r="V587" s="5"/>
      <c r="X587" s="29"/>
      <c r="Y587" s="26"/>
      <c r="Z587" s="26"/>
      <c r="AA587" s="26"/>
      <c r="AB587" s="26"/>
      <c r="AC587" s="26"/>
      <c r="AD587" s="26"/>
    </row>
    <row r="588">
      <c r="H588" s="5"/>
      <c r="O588" s="5"/>
      <c r="V588" s="5"/>
      <c r="X588" s="28"/>
      <c r="Y588" s="26"/>
      <c r="Z588" s="26"/>
      <c r="AA588" s="26"/>
      <c r="AB588" s="26"/>
      <c r="AC588" s="26"/>
      <c r="AD588" s="26"/>
    </row>
    <row r="589">
      <c r="H589" s="5"/>
      <c r="O589" s="5"/>
      <c r="V589" s="5"/>
      <c r="X589" s="29"/>
      <c r="Y589" s="26"/>
      <c r="Z589" s="26"/>
      <c r="AA589" s="26"/>
      <c r="AB589" s="26"/>
      <c r="AC589" s="26"/>
      <c r="AD589" s="26"/>
    </row>
    <row r="590">
      <c r="H590" s="5"/>
      <c r="O590" s="5"/>
      <c r="V590" s="5"/>
      <c r="X590" s="28"/>
      <c r="Y590" s="26"/>
      <c r="Z590" s="26"/>
      <c r="AA590" s="26"/>
      <c r="AB590" s="26"/>
      <c r="AC590" s="26"/>
      <c r="AD590" s="26"/>
    </row>
    <row r="591">
      <c r="H591" s="5"/>
      <c r="O591" s="5"/>
      <c r="V591" s="5"/>
      <c r="X591" s="29"/>
      <c r="Y591" s="26"/>
      <c r="Z591" s="26"/>
      <c r="AA591" s="26"/>
      <c r="AB591" s="26"/>
      <c r="AC591" s="26"/>
      <c r="AD591" s="26"/>
    </row>
    <row r="592">
      <c r="H592" s="5"/>
      <c r="O592" s="5"/>
      <c r="V592" s="5"/>
      <c r="X592" s="28"/>
      <c r="Y592" s="26"/>
      <c r="Z592" s="26"/>
      <c r="AA592" s="26"/>
      <c r="AB592" s="26"/>
      <c r="AC592" s="26"/>
      <c r="AD592" s="26"/>
    </row>
    <row r="593">
      <c r="H593" s="5"/>
      <c r="O593" s="5"/>
      <c r="V593" s="5"/>
      <c r="X593" s="29"/>
      <c r="Y593" s="26"/>
      <c r="Z593" s="26"/>
      <c r="AA593" s="26"/>
      <c r="AB593" s="26"/>
      <c r="AC593" s="26"/>
      <c r="AD593" s="26"/>
    </row>
    <row r="594">
      <c r="H594" s="5"/>
      <c r="O594" s="5"/>
      <c r="V594" s="5"/>
      <c r="X594" s="28"/>
      <c r="Y594" s="26"/>
      <c r="Z594" s="26"/>
      <c r="AA594" s="26"/>
      <c r="AB594" s="26"/>
      <c r="AC594" s="26"/>
      <c r="AD594" s="26"/>
    </row>
    <row r="595">
      <c r="H595" s="5"/>
      <c r="O595" s="5"/>
      <c r="V595" s="5"/>
      <c r="X595" s="29"/>
      <c r="Y595" s="26"/>
      <c r="Z595" s="26"/>
      <c r="AA595" s="26"/>
      <c r="AB595" s="26"/>
      <c r="AC595" s="26"/>
      <c r="AD595" s="26"/>
    </row>
    <row r="596">
      <c r="H596" s="5"/>
      <c r="O596" s="5"/>
      <c r="V596" s="5"/>
      <c r="X596" s="28"/>
      <c r="Y596" s="26"/>
      <c r="Z596" s="26"/>
      <c r="AA596" s="26"/>
      <c r="AB596" s="26"/>
      <c r="AC596" s="26"/>
      <c r="AD596" s="26"/>
    </row>
    <row r="597">
      <c r="H597" s="5"/>
      <c r="O597" s="5"/>
      <c r="V597" s="5"/>
      <c r="X597" s="29"/>
      <c r="Y597" s="26"/>
      <c r="Z597" s="26"/>
      <c r="AA597" s="26"/>
      <c r="AB597" s="26"/>
      <c r="AC597" s="26"/>
      <c r="AD597" s="26"/>
    </row>
    <row r="598">
      <c r="H598" s="5"/>
      <c r="O598" s="5"/>
      <c r="V598" s="5"/>
      <c r="X598" s="28"/>
      <c r="Y598" s="26"/>
      <c r="Z598" s="26"/>
      <c r="AA598" s="26"/>
      <c r="AB598" s="26"/>
      <c r="AC598" s="26"/>
      <c r="AD598" s="26"/>
    </row>
    <row r="599">
      <c r="H599" s="5"/>
      <c r="O599" s="5"/>
      <c r="V599" s="5"/>
      <c r="X599" s="29"/>
      <c r="Y599" s="26"/>
      <c r="Z599" s="26"/>
      <c r="AA599" s="26"/>
      <c r="AB599" s="26"/>
      <c r="AC599" s="26"/>
      <c r="AD599" s="26"/>
    </row>
    <row r="600">
      <c r="H600" s="5"/>
      <c r="O600" s="5"/>
      <c r="V600" s="5"/>
      <c r="X600" s="28"/>
      <c r="Y600" s="26"/>
      <c r="Z600" s="26"/>
      <c r="AA600" s="26"/>
      <c r="AB600" s="26"/>
      <c r="AC600" s="26"/>
      <c r="AD600" s="26"/>
    </row>
    <row r="601">
      <c r="H601" s="5"/>
      <c r="O601" s="5"/>
      <c r="V601" s="5"/>
      <c r="X601" s="29"/>
      <c r="Y601" s="26"/>
      <c r="Z601" s="26"/>
      <c r="AA601" s="26"/>
      <c r="AB601" s="26"/>
      <c r="AC601" s="26"/>
      <c r="AD601" s="26"/>
    </row>
    <row r="602">
      <c r="H602" s="5"/>
      <c r="O602" s="5"/>
      <c r="V602" s="5"/>
      <c r="X602" s="28"/>
      <c r="Y602" s="26"/>
      <c r="Z602" s="26"/>
      <c r="AA602" s="26"/>
      <c r="AB602" s="26"/>
      <c r="AC602" s="26"/>
      <c r="AD602" s="26"/>
    </row>
    <row r="603">
      <c r="H603" s="5"/>
      <c r="O603" s="5"/>
      <c r="V603" s="5"/>
      <c r="X603" s="29"/>
      <c r="Y603" s="26"/>
      <c r="Z603" s="26"/>
      <c r="AA603" s="26"/>
      <c r="AB603" s="26"/>
      <c r="AC603" s="26"/>
      <c r="AD603" s="26"/>
    </row>
    <row r="604">
      <c r="H604" s="5"/>
      <c r="O604" s="5"/>
      <c r="V604" s="5"/>
      <c r="X604" s="28"/>
      <c r="Y604" s="26"/>
      <c r="Z604" s="26"/>
      <c r="AA604" s="26"/>
      <c r="AB604" s="26"/>
      <c r="AC604" s="26"/>
      <c r="AD604" s="26"/>
    </row>
    <row r="605">
      <c r="H605" s="5"/>
      <c r="O605" s="5"/>
      <c r="V605" s="5"/>
      <c r="X605" s="29"/>
      <c r="Y605" s="26"/>
      <c r="Z605" s="26"/>
      <c r="AA605" s="26"/>
      <c r="AB605" s="26"/>
      <c r="AC605" s="26"/>
      <c r="AD605" s="26"/>
    </row>
    <row r="606">
      <c r="H606" s="5"/>
      <c r="O606" s="5"/>
      <c r="V606" s="5"/>
      <c r="X606" s="28"/>
      <c r="Y606" s="26"/>
      <c r="Z606" s="26"/>
      <c r="AA606" s="26"/>
      <c r="AB606" s="26"/>
      <c r="AC606" s="26"/>
      <c r="AD606" s="26"/>
    </row>
    <row r="607">
      <c r="H607" s="5"/>
      <c r="O607" s="5"/>
      <c r="V607" s="5"/>
      <c r="X607" s="29"/>
      <c r="Y607" s="26"/>
      <c r="Z607" s="26"/>
      <c r="AA607" s="26"/>
      <c r="AB607" s="26"/>
      <c r="AC607" s="26"/>
      <c r="AD607" s="26"/>
    </row>
    <row r="608">
      <c r="H608" s="5"/>
      <c r="O608" s="5"/>
      <c r="V608" s="5"/>
      <c r="X608" s="28"/>
      <c r="Y608" s="26"/>
      <c r="Z608" s="26"/>
      <c r="AA608" s="26"/>
      <c r="AB608" s="26"/>
      <c r="AC608" s="26"/>
      <c r="AD608" s="26"/>
    </row>
    <row r="609">
      <c r="H609" s="5"/>
      <c r="O609" s="5"/>
      <c r="V609" s="5"/>
      <c r="X609" s="29"/>
      <c r="Y609" s="26"/>
      <c r="Z609" s="26"/>
      <c r="AA609" s="26"/>
      <c r="AB609" s="26"/>
      <c r="AC609" s="26"/>
      <c r="AD609" s="26"/>
    </row>
    <row r="610">
      <c r="H610" s="5"/>
      <c r="O610" s="5"/>
      <c r="V610" s="5"/>
      <c r="X610" s="28"/>
      <c r="Y610" s="26"/>
      <c r="Z610" s="26"/>
      <c r="AA610" s="26"/>
      <c r="AB610" s="26"/>
      <c r="AC610" s="26"/>
      <c r="AD610" s="26"/>
    </row>
    <row r="611">
      <c r="H611" s="5"/>
      <c r="O611" s="5"/>
      <c r="V611" s="5"/>
      <c r="X611" s="29"/>
      <c r="Y611" s="26"/>
      <c r="Z611" s="26"/>
      <c r="AA611" s="26"/>
      <c r="AB611" s="26"/>
      <c r="AC611" s="26"/>
      <c r="AD611" s="26"/>
    </row>
    <row r="612">
      <c r="H612" s="5"/>
      <c r="O612" s="5"/>
      <c r="V612" s="5"/>
      <c r="X612" s="28"/>
      <c r="Y612" s="26"/>
      <c r="Z612" s="26"/>
      <c r="AA612" s="26"/>
      <c r="AB612" s="26"/>
      <c r="AC612" s="26"/>
      <c r="AD612" s="26"/>
    </row>
    <row r="613">
      <c r="H613" s="5"/>
      <c r="O613" s="5"/>
      <c r="V613" s="5"/>
      <c r="X613" s="29"/>
      <c r="Y613" s="26"/>
      <c r="Z613" s="26"/>
      <c r="AA613" s="26"/>
      <c r="AB613" s="26"/>
      <c r="AC613" s="26"/>
      <c r="AD613" s="26"/>
    </row>
    <row r="614">
      <c r="H614" s="5"/>
      <c r="O614" s="5"/>
      <c r="V614" s="5"/>
      <c r="X614" s="28"/>
      <c r="Y614" s="26"/>
      <c r="Z614" s="26"/>
      <c r="AA614" s="26"/>
      <c r="AB614" s="26"/>
      <c r="AC614" s="26"/>
      <c r="AD614" s="26"/>
    </row>
    <row r="615">
      <c r="H615" s="5"/>
      <c r="O615" s="5"/>
      <c r="V615" s="5"/>
      <c r="X615" s="29"/>
      <c r="Y615" s="26"/>
      <c r="Z615" s="26"/>
      <c r="AA615" s="26"/>
      <c r="AB615" s="26"/>
      <c r="AC615" s="26"/>
      <c r="AD615" s="26"/>
    </row>
    <row r="616">
      <c r="H616" s="5"/>
      <c r="O616" s="5"/>
      <c r="V616" s="5"/>
      <c r="X616" s="28"/>
      <c r="Y616" s="26"/>
      <c r="Z616" s="26"/>
      <c r="AA616" s="26"/>
      <c r="AB616" s="26"/>
      <c r="AC616" s="26"/>
      <c r="AD616" s="26"/>
    </row>
    <row r="617">
      <c r="H617" s="5"/>
      <c r="O617" s="5"/>
      <c r="V617" s="5"/>
      <c r="X617" s="29"/>
      <c r="Y617" s="26"/>
      <c r="Z617" s="26"/>
      <c r="AA617" s="26"/>
      <c r="AB617" s="26"/>
      <c r="AC617" s="26"/>
      <c r="AD617" s="26"/>
    </row>
    <row r="618">
      <c r="H618" s="5"/>
      <c r="O618" s="5"/>
      <c r="V618" s="5"/>
      <c r="X618" s="28"/>
      <c r="Y618" s="26"/>
      <c r="Z618" s="26"/>
      <c r="AA618" s="26"/>
      <c r="AB618" s="26"/>
      <c r="AC618" s="26"/>
      <c r="AD618" s="26"/>
    </row>
    <row r="619">
      <c r="H619" s="5"/>
      <c r="O619" s="5"/>
      <c r="V619" s="5"/>
      <c r="X619" s="29"/>
      <c r="Y619" s="26"/>
      <c r="Z619" s="26"/>
      <c r="AA619" s="26"/>
      <c r="AB619" s="26"/>
      <c r="AC619" s="26"/>
      <c r="AD619" s="26"/>
    </row>
    <row r="620">
      <c r="H620" s="5"/>
      <c r="O620" s="5"/>
      <c r="V620" s="5"/>
      <c r="X620" s="28"/>
      <c r="Y620" s="26"/>
      <c r="Z620" s="26"/>
      <c r="AA620" s="26"/>
      <c r="AB620" s="26"/>
      <c r="AC620" s="26"/>
      <c r="AD620" s="26"/>
    </row>
    <row r="621">
      <c r="H621" s="5"/>
      <c r="O621" s="5"/>
      <c r="V621" s="5"/>
      <c r="X621" s="29"/>
      <c r="Y621" s="26"/>
      <c r="Z621" s="26"/>
      <c r="AA621" s="26"/>
      <c r="AB621" s="26"/>
      <c r="AC621" s="26"/>
      <c r="AD621" s="26"/>
    </row>
    <row r="622">
      <c r="H622" s="5"/>
      <c r="O622" s="5"/>
      <c r="V622" s="5"/>
      <c r="X622" s="28"/>
      <c r="Y622" s="26"/>
      <c r="Z622" s="26"/>
      <c r="AA622" s="26"/>
      <c r="AB622" s="26"/>
      <c r="AC622" s="26"/>
      <c r="AD622" s="26"/>
    </row>
    <row r="623">
      <c r="H623" s="5"/>
      <c r="O623" s="5"/>
      <c r="V623" s="5"/>
      <c r="X623" s="29"/>
      <c r="Y623" s="26"/>
      <c r="Z623" s="26"/>
      <c r="AA623" s="26"/>
      <c r="AB623" s="26"/>
      <c r="AC623" s="26"/>
      <c r="AD623" s="26"/>
    </row>
    <row r="624">
      <c r="H624" s="5"/>
      <c r="O624" s="5"/>
      <c r="V624" s="5"/>
      <c r="X624" s="28"/>
      <c r="Y624" s="26"/>
      <c r="Z624" s="26"/>
      <c r="AA624" s="26"/>
      <c r="AB624" s="26"/>
      <c r="AC624" s="26"/>
      <c r="AD624" s="26"/>
    </row>
    <row r="625">
      <c r="H625" s="5"/>
      <c r="O625" s="5"/>
      <c r="V625" s="5"/>
      <c r="X625" s="29"/>
      <c r="Y625" s="26"/>
      <c r="Z625" s="26"/>
      <c r="AA625" s="26"/>
      <c r="AB625" s="26"/>
      <c r="AC625" s="26"/>
      <c r="AD625" s="26"/>
    </row>
    <row r="626">
      <c r="H626" s="5"/>
      <c r="O626" s="5"/>
      <c r="V626" s="5"/>
      <c r="X626" s="28"/>
      <c r="Y626" s="26"/>
      <c r="Z626" s="26"/>
      <c r="AA626" s="26"/>
      <c r="AB626" s="26"/>
      <c r="AC626" s="26"/>
      <c r="AD626" s="26"/>
    </row>
    <row r="627">
      <c r="H627" s="5"/>
      <c r="O627" s="5"/>
      <c r="V627" s="5"/>
      <c r="X627" s="29"/>
      <c r="Y627" s="26"/>
      <c r="Z627" s="26"/>
      <c r="AA627" s="26"/>
      <c r="AB627" s="26"/>
      <c r="AC627" s="26"/>
      <c r="AD627" s="26"/>
    </row>
    <row r="628">
      <c r="H628" s="5"/>
      <c r="O628" s="5"/>
      <c r="V628" s="5"/>
      <c r="X628" s="28"/>
      <c r="Y628" s="26"/>
      <c r="Z628" s="26"/>
      <c r="AA628" s="26"/>
      <c r="AB628" s="26"/>
      <c r="AC628" s="26"/>
      <c r="AD628" s="26"/>
    </row>
    <row r="629">
      <c r="H629" s="5"/>
      <c r="O629" s="5"/>
      <c r="V629" s="5"/>
      <c r="X629" s="29"/>
      <c r="Y629" s="26"/>
      <c r="Z629" s="26"/>
      <c r="AA629" s="26"/>
      <c r="AB629" s="26"/>
      <c r="AC629" s="26"/>
      <c r="AD629" s="26"/>
    </row>
    <row r="630">
      <c r="H630" s="5"/>
      <c r="O630" s="5"/>
      <c r="V630" s="5"/>
      <c r="X630" s="28"/>
      <c r="Y630" s="26"/>
      <c r="Z630" s="26"/>
      <c r="AA630" s="26"/>
      <c r="AB630" s="26"/>
      <c r="AC630" s="26"/>
      <c r="AD630" s="26"/>
    </row>
    <row r="631">
      <c r="H631" s="5"/>
      <c r="O631" s="5"/>
      <c r="V631" s="5"/>
      <c r="X631" s="29"/>
      <c r="Y631" s="26"/>
      <c r="Z631" s="26"/>
      <c r="AA631" s="26"/>
      <c r="AB631" s="26"/>
      <c r="AC631" s="26"/>
      <c r="AD631" s="26"/>
    </row>
    <row r="632">
      <c r="H632" s="5"/>
      <c r="O632" s="5"/>
      <c r="V632" s="5"/>
      <c r="X632" s="28"/>
      <c r="Y632" s="26"/>
      <c r="Z632" s="26"/>
      <c r="AA632" s="26"/>
      <c r="AB632" s="26"/>
      <c r="AC632" s="26"/>
      <c r="AD632" s="26"/>
    </row>
    <row r="633">
      <c r="H633" s="5"/>
      <c r="O633" s="5"/>
      <c r="V633" s="5"/>
      <c r="X633" s="29"/>
      <c r="Y633" s="26"/>
      <c r="Z633" s="26"/>
      <c r="AA633" s="26"/>
      <c r="AB633" s="26"/>
      <c r="AC633" s="26"/>
      <c r="AD633" s="26"/>
    </row>
    <row r="634">
      <c r="H634" s="5"/>
      <c r="O634" s="5"/>
      <c r="V634" s="5"/>
      <c r="X634" s="28"/>
      <c r="Y634" s="26"/>
      <c r="Z634" s="26"/>
      <c r="AA634" s="26"/>
      <c r="AB634" s="26"/>
      <c r="AC634" s="26"/>
      <c r="AD634" s="26"/>
    </row>
    <row r="635">
      <c r="H635" s="5"/>
      <c r="O635" s="5"/>
      <c r="V635" s="5"/>
      <c r="X635" s="29"/>
      <c r="Y635" s="26"/>
      <c r="Z635" s="26"/>
      <c r="AA635" s="26"/>
      <c r="AB635" s="26"/>
      <c r="AC635" s="26"/>
      <c r="AD635" s="26"/>
    </row>
    <row r="636">
      <c r="H636" s="5"/>
      <c r="O636" s="5"/>
      <c r="V636" s="5"/>
      <c r="X636" s="28"/>
      <c r="Y636" s="26"/>
      <c r="Z636" s="26"/>
      <c r="AA636" s="26"/>
      <c r="AB636" s="26"/>
      <c r="AC636" s="26"/>
      <c r="AD636" s="26"/>
    </row>
    <row r="637">
      <c r="H637" s="5"/>
      <c r="O637" s="5"/>
      <c r="V637" s="5"/>
      <c r="X637" s="29"/>
      <c r="Y637" s="26"/>
      <c r="Z637" s="26"/>
      <c r="AA637" s="26"/>
      <c r="AB637" s="26"/>
      <c r="AC637" s="26"/>
      <c r="AD637" s="26"/>
    </row>
    <row r="638">
      <c r="H638" s="5"/>
      <c r="O638" s="5"/>
      <c r="V638" s="5"/>
      <c r="X638" s="28"/>
      <c r="Y638" s="26"/>
      <c r="Z638" s="26"/>
      <c r="AA638" s="26"/>
      <c r="AB638" s="26"/>
      <c r="AC638" s="26"/>
      <c r="AD638" s="26"/>
    </row>
    <row r="639">
      <c r="H639" s="5"/>
      <c r="O639" s="5"/>
      <c r="V639" s="5"/>
      <c r="X639" s="29"/>
      <c r="Y639" s="26"/>
      <c r="Z639" s="26"/>
      <c r="AA639" s="26"/>
      <c r="AB639" s="26"/>
      <c r="AC639" s="26"/>
      <c r="AD639" s="26"/>
    </row>
    <row r="640">
      <c r="H640" s="5"/>
      <c r="O640" s="5"/>
      <c r="V640" s="5"/>
      <c r="X640" s="28"/>
      <c r="Y640" s="26"/>
      <c r="Z640" s="26"/>
      <c r="AA640" s="26"/>
      <c r="AB640" s="26"/>
      <c r="AC640" s="26"/>
      <c r="AD640" s="26"/>
    </row>
    <row r="641">
      <c r="H641" s="5"/>
      <c r="O641" s="5"/>
      <c r="V641" s="5"/>
      <c r="X641" s="29"/>
      <c r="Y641" s="26"/>
      <c r="Z641" s="26"/>
      <c r="AA641" s="26"/>
      <c r="AB641" s="26"/>
      <c r="AC641" s="26"/>
      <c r="AD641" s="26"/>
    </row>
    <row r="642">
      <c r="H642" s="5"/>
      <c r="O642" s="5"/>
      <c r="V642" s="5"/>
      <c r="X642" s="28"/>
      <c r="Y642" s="26"/>
      <c r="Z642" s="26"/>
      <c r="AA642" s="26"/>
      <c r="AB642" s="26"/>
      <c r="AC642" s="26"/>
      <c r="AD642" s="26"/>
    </row>
    <row r="643">
      <c r="H643" s="5"/>
      <c r="O643" s="5"/>
      <c r="V643" s="5"/>
      <c r="X643" s="29"/>
      <c r="Y643" s="26"/>
      <c r="Z643" s="26"/>
      <c r="AA643" s="26"/>
      <c r="AB643" s="26"/>
      <c r="AC643" s="26"/>
      <c r="AD643" s="26"/>
    </row>
    <row r="644">
      <c r="H644" s="5"/>
      <c r="O644" s="5"/>
      <c r="V644" s="5"/>
      <c r="X644" s="28"/>
      <c r="Y644" s="26"/>
      <c r="Z644" s="26"/>
      <c r="AA644" s="26"/>
      <c r="AB644" s="26"/>
      <c r="AC644" s="26"/>
      <c r="AD644" s="26"/>
    </row>
    <row r="645">
      <c r="H645" s="5"/>
      <c r="O645" s="5"/>
      <c r="V645" s="5"/>
      <c r="X645" s="29"/>
      <c r="Y645" s="26"/>
      <c r="Z645" s="26"/>
      <c r="AA645" s="26"/>
      <c r="AB645" s="26"/>
      <c r="AC645" s="26"/>
      <c r="AD645" s="26"/>
    </row>
    <row r="646">
      <c r="H646" s="5"/>
      <c r="O646" s="5"/>
      <c r="V646" s="5"/>
      <c r="X646" s="28"/>
      <c r="Y646" s="26"/>
      <c r="Z646" s="26"/>
      <c r="AA646" s="26"/>
      <c r="AB646" s="26"/>
      <c r="AC646" s="26"/>
      <c r="AD646" s="26"/>
    </row>
    <row r="647">
      <c r="H647" s="5"/>
      <c r="O647" s="5"/>
      <c r="V647" s="5"/>
      <c r="X647" s="29"/>
      <c r="Y647" s="26"/>
      <c r="Z647" s="26"/>
      <c r="AA647" s="26"/>
      <c r="AB647" s="26"/>
      <c r="AC647" s="26"/>
      <c r="AD647" s="26"/>
    </row>
    <row r="648">
      <c r="H648" s="5"/>
      <c r="O648" s="5"/>
      <c r="V648" s="5"/>
      <c r="X648" s="28"/>
      <c r="Y648" s="26"/>
      <c r="Z648" s="26"/>
      <c r="AA648" s="26"/>
      <c r="AB648" s="26"/>
      <c r="AC648" s="26"/>
      <c r="AD648" s="26"/>
    </row>
    <row r="649">
      <c r="H649" s="5"/>
      <c r="O649" s="5"/>
      <c r="V649" s="5"/>
      <c r="X649" s="29"/>
      <c r="Y649" s="26"/>
      <c r="Z649" s="26"/>
      <c r="AA649" s="26"/>
      <c r="AB649" s="26"/>
      <c r="AC649" s="26"/>
      <c r="AD649" s="26"/>
    </row>
    <row r="650">
      <c r="H650" s="5"/>
      <c r="O650" s="5"/>
      <c r="V650" s="5"/>
      <c r="X650" s="28"/>
      <c r="Y650" s="26"/>
      <c r="Z650" s="26"/>
      <c r="AA650" s="26"/>
      <c r="AB650" s="26"/>
      <c r="AC650" s="26"/>
      <c r="AD650" s="26"/>
    </row>
    <row r="651">
      <c r="H651" s="5"/>
      <c r="O651" s="5"/>
      <c r="V651" s="5"/>
      <c r="X651" s="29"/>
      <c r="Y651" s="26"/>
      <c r="Z651" s="26"/>
      <c r="AA651" s="26"/>
      <c r="AB651" s="26"/>
      <c r="AC651" s="26"/>
      <c r="AD651" s="26"/>
    </row>
    <row r="652">
      <c r="H652" s="5"/>
      <c r="O652" s="5"/>
      <c r="V652" s="5"/>
      <c r="X652" s="28"/>
      <c r="Y652" s="26"/>
      <c r="Z652" s="26"/>
      <c r="AA652" s="26"/>
      <c r="AB652" s="26"/>
      <c r="AC652" s="26"/>
      <c r="AD652" s="26"/>
    </row>
    <row r="653">
      <c r="H653" s="5"/>
      <c r="O653" s="5"/>
      <c r="V653" s="5"/>
      <c r="X653" s="29"/>
      <c r="Y653" s="26"/>
      <c r="Z653" s="26"/>
      <c r="AA653" s="26"/>
      <c r="AB653" s="26"/>
      <c r="AC653" s="26"/>
      <c r="AD653" s="26"/>
    </row>
    <row r="654">
      <c r="H654" s="5"/>
      <c r="O654" s="5"/>
      <c r="V654" s="5"/>
      <c r="X654" s="28"/>
      <c r="Y654" s="26"/>
      <c r="Z654" s="26"/>
      <c r="AA654" s="26"/>
      <c r="AB654" s="26"/>
      <c r="AC654" s="26"/>
      <c r="AD654" s="26"/>
    </row>
    <row r="655">
      <c r="H655" s="5"/>
      <c r="O655" s="5"/>
      <c r="V655" s="5"/>
      <c r="X655" s="29"/>
      <c r="Y655" s="26"/>
      <c r="Z655" s="26"/>
      <c r="AA655" s="26"/>
      <c r="AB655" s="26"/>
      <c r="AC655" s="26"/>
      <c r="AD655" s="26"/>
    </row>
    <row r="656">
      <c r="H656" s="5"/>
      <c r="O656" s="5"/>
      <c r="V656" s="5"/>
      <c r="X656" s="28"/>
      <c r="Y656" s="26"/>
      <c r="Z656" s="26"/>
      <c r="AA656" s="26"/>
      <c r="AB656" s="26"/>
      <c r="AC656" s="26"/>
      <c r="AD656" s="26"/>
    </row>
    <row r="657">
      <c r="H657" s="5"/>
      <c r="O657" s="5"/>
      <c r="V657" s="5"/>
      <c r="X657" s="29"/>
      <c r="Y657" s="26"/>
      <c r="Z657" s="26"/>
      <c r="AA657" s="26"/>
      <c r="AB657" s="26"/>
      <c r="AC657" s="26"/>
      <c r="AD657" s="26"/>
    </row>
    <row r="658">
      <c r="H658" s="5"/>
      <c r="O658" s="5"/>
      <c r="V658" s="5"/>
      <c r="X658" s="28"/>
      <c r="Y658" s="26"/>
      <c r="Z658" s="26"/>
      <c r="AA658" s="26"/>
      <c r="AB658" s="26"/>
      <c r="AC658" s="26"/>
      <c r="AD658" s="26"/>
    </row>
    <row r="659">
      <c r="H659" s="5"/>
      <c r="O659" s="5"/>
      <c r="V659" s="5"/>
      <c r="X659" s="29"/>
      <c r="Y659" s="26"/>
      <c r="Z659" s="26"/>
      <c r="AA659" s="26"/>
      <c r="AB659" s="26"/>
      <c r="AC659" s="26"/>
      <c r="AD659" s="26"/>
    </row>
    <row r="660">
      <c r="H660" s="5"/>
      <c r="O660" s="5"/>
      <c r="V660" s="5"/>
      <c r="X660" s="28"/>
      <c r="Y660" s="26"/>
      <c r="Z660" s="26"/>
      <c r="AA660" s="26"/>
      <c r="AB660" s="26"/>
      <c r="AC660" s="26"/>
      <c r="AD660" s="26"/>
    </row>
    <row r="661">
      <c r="H661" s="5"/>
      <c r="O661" s="5"/>
      <c r="V661" s="5"/>
      <c r="X661" s="29"/>
      <c r="Y661" s="26"/>
      <c r="Z661" s="26"/>
      <c r="AA661" s="26"/>
      <c r="AB661" s="26"/>
      <c r="AC661" s="26"/>
      <c r="AD661" s="26"/>
    </row>
    <row r="662">
      <c r="H662" s="5"/>
      <c r="O662" s="5"/>
      <c r="V662" s="5"/>
      <c r="X662" s="28"/>
      <c r="Y662" s="26"/>
      <c r="Z662" s="26"/>
      <c r="AA662" s="26"/>
      <c r="AB662" s="26"/>
      <c r="AC662" s="26"/>
      <c r="AD662" s="26"/>
    </row>
    <row r="663">
      <c r="H663" s="5"/>
      <c r="O663" s="5"/>
      <c r="V663" s="5"/>
      <c r="X663" s="29"/>
      <c r="Y663" s="26"/>
      <c r="Z663" s="26"/>
      <c r="AA663" s="26"/>
      <c r="AB663" s="26"/>
      <c r="AC663" s="26"/>
      <c r="AD663" s="26"/>
    </row>
    <row r="664">
      <c r="H664" s="5"/>
      <c r="O664" s="5"/>
      <c r="V664" s="5"/>
      <c r="X664" s="28"/>
      <c r="Y664" s="26"/>
      <c r="Z664" s="26"/>
      <c r="AA664" s="26"/>
      <c r="AB664" s="26"/>
      <c r="AC664" s="26"/>
      <c r="AD664" s="26"/>
    </row>
    <row r="665">
      <c r="H665" s="5"/>
      <c r="O665" s="5"/>
      <c r="V665" s="5"/>
      <c r="X665" s="29"/>
      <c r="Y665" s="26"/>
      <c r="Z665" s="26"/>
      <c r="AA665" s="26"/>
      <c r="AB665" s="26"/>
      <c r="AC665" s="26"/>
      <c r="AD665" s="26"/>
    </row>
    <row r="666">
      <c r="H666" s="5"/>
      <c r="O666" s="5"/>
      <c r="V666" s="5"/>
      <c r="X666" s="28"/>
      <c r="Y666" s="26"/>
      <c r="Z666" s="26"/>
      <c r="AA666" s="26"/>
      <c r="AB666" s="26"/>
      <c r="AC666" s="26"/>
      <c r="AD666" s="26"/>
    </row>
    <row r="667">
      <c r="H667" s="5"/>
      <c r="O667" s="5"/>
      <c r="V667" s="5"/>
      <c r="X667" s="29"/>
      <c r="Y667" s="26"/>
      <c r="Z667" s="26"/>
      <c r="AA667" s="26"/>
      <c r="AB667" s="26"/>
      <c r="AC667" s="26"/>
      <c r="AD667" s="26"/>
    </row>
    <row r="668">
      <c r="H668" s="5"/>
      <c r="O668" s="5"/>
      <c r="V668" s="5"/>
      <c r="X668" s="28"/>
      <c r="Y668" s="26"/>
      <c r="Z668" s="26"/>
      <c r="AA668" s="26"/>
      <c r="AB668" s="26"/>
      <c r="AC668" s="26"/>
      <c r="AD668" s="26"/>
    </row>
    <row r="669">
      <c r="H669" s="5"/>
      <c r="O669" s="5"/>
      <c r="V669" s="5"/>
      <c r="X669" s="29"/>
      <c r="Y669" s="26"/>
      <c r="Z669" s="26"/>
      <c r="AA669" s="26"/>
      <c r="AB669" s="26"/>
      <c r="AC669" s="26"/>
      <c r="AD669" s="26"/>
    </row>
    <row r="670">
      <c r="H670" s="5"/>
      <c r="O670" s="5"/>
      <c r="V670" s="5"/>
      <c r="X670" s="28"/>
      <c r="Y670" s="26"/>
      <c r="Z670" s="26"/>
      <c r="AA670" s="26"/>
      <c r="AB670" s="26"/>
      <c r="AC670" s="26"/>
      <c r="AD670" s="26"/>
    </row>
    <row r="671">
      <c r="H671" s="5"/>
      <c r="O671" s="5"/>
      <c r="V671" s="5"/>
      <c r="X671" s="29"/>
      <c r="Y671" s="26"/>
      <c r="Z671" s="26"/>
      <c r="AA671" s="26"/>
      <c r="AB671" s="26"/>
      <c r="AC671" s="26"/>
      <c r="AD671" s="26"/>
    </row>
    <row r="672">
      <c r="H672" s="5"/>
      <c r="O672" s="5"/>
      <c r="V672" s="5"/>
      <c r="X672" s="28"/>
      <c r="Y672" s="26"/>
      <c r="Z672" s="26"/>
      <c r="AA672" s="26"/>
      <c r="AB672" s="26"/>
      <c r="AC672" s="26"/>
      <c r="AD672" s="26"/>
    </row>
    <row r="673">
      <c r="H673" s="5"/>
      <c r="O673" s="5"/>
      <c r="V673" s="5"/>
      <c r="X673" s="29"/>
      <c r="Y673" s="26"/>
      <c r="Z673" s="26"/>
      <c r="AA673" s="26"/>
      <c r="AB673" s="26"/>
      <c r="AC673" s="26"/>
      <c r="AD673" s="26"/>
    </row>
    <row r="674">
      <c r="H674" s="5"/>
      <c r="O674" s="5"/>
      <c r="V674" s="5"/>
      <c r="X674" s="28"/>
      <c r="Y674" s="26"/>
      <c r="Z674" s="26"/>
      <c r="AA674" s="26"/>
      <c r="AB674" s="26"/>
      <c r="AC674" s="26"/>
      <c r="AD674" s="26"/>
    </row>
    <row r="675">
      <c r="H675" s="5"/>
      <c r="O675" s="5"/>
      <c r="V675" s="5"/>
      <c r="X675" s="29"/>
      <c r="Y675" s="26"/>
      <c r="Z675" s="26"/>
      <c r="AA675" s="26"/>
      <c r="AB675" s="26"/>
      <c r="AC675" s="26"/>
      <c r="AD675" s="26"/>
    </row>
    <row r="676">
      <c r="H676" s="5"/>
      <c r="O676" s="5"/>
      <c r="V676" s="5"/>
      <c r="X676" s="28"/>
      <c r="Y676" s="26"/>
      <c r="Z676" s="26"/>
      <c r="AA676" s="26"/>
      <c r="AB676" s="26"/>
      <c r="AC676" s="26"/>
      <c r="AD676" s="26"/>
    </row>
    <row r="677">
      <c r="H677" s="5"/>
      <c r="O677" s="5"/>
      <c r="V677" s="5"/>
      <c r="X677" s="29"/>
      <c r="Y677" s="26"/>
      <c r="Z677" s="26"/>
      <c r="AA677" s="26"/>
      <c r="AB677" s="26"/>
      <c r="AC677" s="26"/>
      <c r="AD677" s="26"/>
    </row>
    <row r="678">
      <c r="H678" s="5"/>
      <c r="O678" s="5"/>
      <c r="V678" s="5"/>
      <c r="X678" s="28"/>
      <c r="Y678" s="26"/>
      <c r="Z678" s="26"/>
      <c r="AA678" s="26"/>
      <c r="AB678" s="26"/>
      <c r="AC678" s="26"/>
      <c r="AD678" s="26"/>
    </row>
    <row r="679">
      <c r="H679" s="5"/>
      <c r="O679" s="5"/>
      <c r="V679" s="5"/>
      <c r="X679" s="29"/>
      <c r="Y679" s="26"/>
      <c r="Z679" s="26"/>
      <c r="AA679" s="26"/>
      <c r="AB679" s="26"/>
      <c r="AC679" s="26"/>
      <c r="AD679" s="26"/>
    </row>
    <row r="680">
      <c r="H680" s="5"/>
      <c r="O680" s="5"/>
      <c r="V680" s="5"/>
      <c r="X680" s="28"/>
      <c r="Y680" s="26"/>
      <c r="Z680" s="26"/>
      <c r="AA680" s="26"/>
      <c r="AB680" s="26"/>
      <c r="AC680" s="26"/>
      <c r="AD680" s="26"/>
    </row>
    <row r="681">
      <c r="H681" s="5"/>
      <c r="O681" s="5"/>
      <c r="V681" s="5"/>
      <c r="X681" s="29"/>
      <c r="Y681" s="26"/>
      <c r="Z681" s="26"/>
      <c r="AA681" s="26"/>
      <c r="AB681" s="26"/>
      <c r="AC681" s="26"/>
      <c r="AD681" s="26"/>
    </row>
    <row r="682">
      <c r="H682" s="5"/>
      <c r="O682" s="5"/>
      <c r="V682" s="5"/>
      <c r="X682" s="28"/>
      <c r="Y682" s="26"/>
      <c r="Z682" s="26"/>
      <c r="AA682" s="26"/>
      <c r="AB682" s="26"/>
      <c r="AC682" s="26"/>
      <c r="AD682" s="26"/>
    </row>
    <row r="683">
      <c r="H683" s="5"/>
      <c r="O683" s="5"/>
      <c r="V683" s="5"/>
      <c r="X683" s="29"/>
      <c r="Y683" s="26"/>
      <c r="Z683" s="26"/>
      <c r="AA683" s="26"/>
      <c r="AB683" s="26"/>
      <c r="AC683" s="26"/>
      <c r="AD683" s="26"/>
    </row>
    <row r="684">
      <c r="H684" s="5"/>
      <c r="O684" s="5"/>
      <c r="V684" s="5"/>
      <c r="X684" s="28"/>
      <c r="Y684" s="26"/>
      <c r="Z684" s="26"/>
      <c r="AA684" s="26"/>
      <c r="AB684" s="26"/>
      <c r="AC684" s="26"/>
      <c r="AD684" s="26"/>
    </row>
    <row r="685">
      <c r="H685" s="5"/>
      <c r="O685" s="5"/>
      <c r="V685" s="5"/>
      <c r="X685" s="29"/>
      <c r="Y685" s="26"/>
      <c r="Z685" s="26"/>
      <c r="AA685" s="26"/>
      <c r="AB685" s="26"/>
      <c r="AC685" s="26"/>
      <c r="AD685" s="26"/>
    </row>
    <row r="686">
      <c r="H686" s="5"/>
      <c r="O686" s="5"/>
      <c r="V686" s="5"/>
      <c r="X686" s="28"/>
      <c r="Y686" s="26"/>
      <c r="Z686" s="26"/>
      <c r="AA686" s="26"/>
      <c r="AB686" s="26"/>
      <c r="AC686" s="26"/>
      <c r="AD686" s="26"/>
    </row>
    <row r="687">
      <c r="H687" s="5"/>
      <c r="O687" s="5"/>
      <c r="V687" s="5"/>
      <c r="X687" s="29"/>
      <c r="Y687" s="26"/>
      <c r="Z687" s="26"/>
      <c r="AA687" s="26"/>
      <c r="AB687" s="26"/>
      <c r="AC687" s="26"/>
      <c r="AD687" s="26"/>
    </row>
    <row r="688">
      <c r="H688" s="5"/>
      <c r="O688" s="5"/>
      <c r="V688" s="5"/>
      <c r="X688" s="28"/>
      <c r="Y688" s="26"/>
      <c r="Z688" s="26"/>
      <c r="AA688" s="26"/>
      <c r="AB688" s="26"/>
      <c r="AC688" s="26"/>
      <c r="AD688" s="26"/>
    </row>
    <row r="689">
      <c r="H689" s="5"/>
      <c r="O689" s="5"/>
      <c r="V689" s="5"/>
      <c r="X689" s="29"/>
      <c r="Y689" s="26"/>
      <c r="Z689" s="26"/>
      <c r="AA689" s="26"/>
      <c r="AB689" s="26"/>
      <c r="AC689" s="26"/>
      <c r="AD689" s="26"/>
    </row>
    <row r="690">
      <c r="H690" s="5"/>
      <c r="O690" s="5"/>
      <c r="V690" s="5"/>
      <c r="X690" s="28"/>
      <c r="Y690" s="26"/>
      <c r="Z690" s="26"/>
      <c r="AA690" s="26"/>
      <c r="AB690" s="26"/>
      <c r="AC690" s="26"/>
      <c r="AD690" s="26"/>
    </row>
    <row r="691">
      <c r="H691" s="5"/>
      <c r="O691" s="5"/>
      <c r="V691" s="5"/>
      <c r="X691" s="29"/>
      <c r="Y691" s="26"/>
      <c r="Z691" s="26"/>
      <c r="AA691" s="26"/>
      <c r="AB691" s="26"/>
      <c r="AC691" s="26"/>
      <c r="AD691" s="26"/>
    </row>
    <row r="692">
      <c r="H692" s="5"/>
      <c r="O692" s="5"/>
      <c r="V692" s="5"/>
      <c r="X692" s="28"/>
      <c r="Y692" s="26"/>
      <c r="Z692" s="26"/>
      <c r="AA692" s="26"/>
      <c r="AB692" s="26"/>
      <c r="AC692" s="26"/>
      <c r="AD692" s="26"/>
    </row>
    <row r="693">
      <c r="H693" s="5"/>
      <c r="O693" s="5"/>
      <c r="V693" s="5"/>
      <c r="X693" s="29"/>
      <c r="Y693" s="26"/>
      <c r="Z693" s="26"/>
      <c r="AA693" s="26"/>
      <c r="AB693" s="26"/>
      <c r="AC693" s="26"/>
      <c r="AD693" s="26"/>
    </row>
    <row r="694">
      <c r="H694" s="5"/>
      <c r="O694" s="5"/>
      <c r="V694" s="5"/>
      <c r="X694" s="28"/>
      <c r="Y694" s="26"/>
      <c r="Z694" s="26"/>
      <c r="AA694" s="26"/>
      <c r="AB694" s="26"/>
      <c r="AC694" s="26"/>
      <c r="AD694" s="26"/>
    </row>
    <row r="695">
      <c r="H695" s="5"/>
      <c r="O695" s="5"/>
      <c r="V695" s="5"/>
      <c r="X695" s="29"/>
      <c r="Y695" s="26"/>
      <c r="Z695" s="26"/>
      <c r="AA695" s="26"/>
      <c r="AB695" s="26"/>
      <c r="AC695" s="26"/>
      <c r="AD695" s="26"/>
    </row>
    <row r="696">
      <c r="H696" s="5"/>
      <c r="O696" s="5"/>
      <c r="V696" s="5"/>
      <c r="X696" s="28"/>
      <c r="Y696" s="26"/>
      <c r="Z696" s="26"/>
      <c r="AA696" s="26"/>
      <c r="AB696" s="26"/>
      <c r="AC696" s="26"/>
      <c r="AD696" s="26"/>
    </row>
    <row r="697">
      <c r="H697" s="5"/>
      <c r="O697" s="5"/>
      <c r="V697" s="5"/>
      <c r="X697" s="29"/>
      <c r="Y697" s="26"/>
      <c r="Z697" s="26"/>
      <c r="AA697" s="26"/>
      <c r="AB697" s="26"/>
      <c r="AC697" s="26"/>
      <c r="AD697" s="26"/>
    </row>
    <row r="698">
      <c r="H698" s="5"/>
      <c r="O698" s="5"/>
      <c r="V698" s="5"/>
      <c r="X698" s="28"/>
      <c r="Y698" s="26"/>
      <c r="Z698" s="26"/>
      <c r="AA698" s="26"/>
      <c r="AB698" s="26"/>
      <c r="AC698" s="26"/>
      <c r="AD698" s="26"/>
    </row>
    <row r="699">
      <c r="H699" s="5"/>
      <c r="O699" s="5"/>
      <c r="V699" s="5"/>
      <c r="X699" s="29"/>
      <c r="Y699" s="26"/>
      <c r="Z699" s="26"/>
      <c r="AA699" s="26"/>
      <c r="AB699" s="26"/>
      <c r="AC699" s="26"/>
      <c r="AD699" s="26"/>
    </row>
    <row r="700">
      <c r="H700" s="5"/>
      <c r="O700" s="5"/>
      <c r="V700" s="5"/>
      <c r="X700" s="28"/>
      <c r="Y700" s="26"/>
      <c r="Z700" s="26"/>
      <c r="AA700" s="26"/>
      <c r="AB700" s="26"/>
      <c r="AC700" s="26"/>
      <c r="AD700" s="26"/>
    </row>
    <row r="701">
      <c r="H701" s="5"/>
      <c r="O701" s="5"/>
      <c r="V701" s="5"/>
      <c r="X701" s="29"/>
      <c r="Y701" s="26"/>
      <c r="Z701" s="26"/>
      <c r="AA701" s="26"/>
      <c r="AB701" s="26"/>
      <c r="AC701" s="26"/>
      <c r="AD701" s="26"/>
    </row>
    <row r="702">
      <c r="H702" s="5"/>
      <c r="O702" s="5"/>
      <c r="V702" s="5"/>
      <c r="X702" s="28"/>
      <c r="Y702" s="26"/>
      <c r="Z702" s="26"/>
      <c r="AA702" s="26"/>
      <c r="AB702" s="26"/>
      <c r="AC702" s="26"/>
      <c r="AD702" s="26"/>
    </row>
    <row r="703">
      <c r="H703" s="5"/>
      <c r="O703" s="5"/>
      <c r="V703" s="5"/>
      <c r="X703" s="29"/>
      <c r="Y703" s="26"/>
      <c r="Z703" s="26"/>
      <c r="AA703" s="26"/>
      <c r="AB703" s="26"/>
      <c r="AC703" s="26"/>
      <c r="AD703" s="26"/>
    </row>
    <row r="704">
      <c r="H704" s="5"/>
      <c r="O704" s="5"/>
      <c r="V704" s="5"/>
      <c r="X704" s="28"/>
      <c r="Y704" s="26"/>
      <c r="Z704" s="26"/>
      <c r="AA704" s="26"/>
      <c r="AB704" s="26"/>
      <c r="AC704" s="26"/>
      <c r="AD704" s="26"/>
    </row>
    <row r="705">
      <c r="H705" s="5"/>
      <c r="O705" s="5"/>
      <c r="V705" s="5"/>
      <c r="X705" s="29"/>
      <c r="Y705" s="26"/>
      <c r="Z705" s="26"/>
      <c r="AA705" s="26"/>
      <c r="AB705" s="26"/>
      <c r="AC705" s="26"/>
      <c r="AD705" s="26"/>
    </row>
    <row r="706">
      <c r="H706" s="5"/>
      <c r="O706" s="5"/>
      <c r="V706" s="5"/>
      <c r="X706" s="28"/>
      <c r="Y706" s="26"/>
      <c r="Z706" s="26"/>
      <c r="AA706" s="26"/>
      <c r="AB706" s="26"/>
      <c r="AC706" s="26"/>
      <c r="AD706" s="26"/>
    </row>
    <row r="707">
      <c r="H707" s="5"/>
      <c r="O707" s="5"/>
      <c r="V707" s="5"/>
      <c r="X707" s="29"/>
      <c r="Y707" s="26"/>
      <c r="Z707" s="26"/>
      <c r="AA707" s="26"/>
      <c r="AB707" s="26"/>
      <c r="AC707" s="26"/>
      <c r="AD707" s="26"/>
    </row>
    <row r="708">
      <c r="H708" s="5"/>
      <c r="O708" s="5"/>
      <c r="V708" s="5"/>
      <c r="X708" s="28"/>
      <c r="Y708" s="26"/>
      <c r="Z708" s="26"/>
      <c r="AA708" s="26"/>
      <c r="AB708" s="26"/>
      <c r="AC708" s="26"/>
      <c r="AD708" s="26"/>
    </row>
    <row r="709">
      <c r="H709" s="5"/>
      <c r="O709" s="5"/>
      <c r="V709" s="5"/>
      <c r="X709" s="29"/>
      <c r="Y709" s="26"/>
      <c r="Z709" s="26"/>
      <c r="AA709" s="26"/>
      <c r="AB709" s="26"/>
      <c r="AC709" s="26"/>
      <c r="AD709" s="26"/>
    </row>
    <row r="710">
      <c r="H710" s="5"/>
      <c r="O710" s="5"/>
      <c r="V710" s="5"/>
      <c r="X710" s="28"/>
      <c r="Y710" s="26"/>
      <c r="Z710" s="26"/>
      <c r="AA710" s="26"/>
      <c r="AB710" s="26"/>
      <c r="AC710" s="26"/>
      <c r="AD710" s="26"/>
    </row>
    <row r="711">
      <c r="H711" s="5"/>
      <c r="O711" s="5"/>
      <c r="V711" s="5"/>
      <c r="X711" s="29"/>
      <c r="Y711" s="26"/>
      <c r="Z711" s="26"/>
      <c r="AA711" s="26"/>
      <c r="AB711" s="26"/>
      <c r="AC711" s="26"/>
      <c r="AD711" s="26"/>
    </row>
    <row r="712">
      <c r="H712" s="5"/>
      <c r="O712" s="5"/>
      <c r="V712" s="5"/>
      <c r="X712" s="28"/>
      <c r="Y712" s="26"/>
      <c r="Z712" s="26"/>
      <c r="AA712" s="26"/>
      <c r="AB712" s="26"/>
      <c r="AC712" s="26"/>
      <c r="AD712" s="26"/>
    </row>
    <row r="713">
      <c r="H713" s="5"/>
      <c r="O713" s="5"/>
      <c r="V713" s="5"/>
      <c r="X713" s="29"/>
      <c r="Y713" s="26"/>
      <c r="Z713" s="26"/>
      <c r="AA713" s="26"/>
      <c r="AB713" s="26"/>
      <c r="AC713" s="26"/>
      <c r="AD713" s="26"/>
    </row>
    <row r="714">
      <c r="H714" s="5"/>
      <c r="O714" s="5"/>
      <c r="V714" s="5"/>
      <c r="X714" s="28"/>
      <c r="Y714" s="26"/>
      <c r="Z714" s="26"/>
      <c r="AA714" s="26"/>
      <c r="AB714" s="26"/>
      <c r="AC714" s="26"/>
      <c r="AD714" s="26"/>
    </row>
    <row r="715">
      <c r="H715" s="5"/>
      <c r="O715" s="5"/>
      <c r="V715" s="5"/>
      <c r="X715" s="29"/>
      <c r="Y715" s="26"/>
      <c r="Z715" s="26"/>
      <c r="AA715" s="26"/>
      <c r="AB715" s="26"/>
      <c r="AC715" s="26"/>
      <c r="AD715" s="26"/>
    </row>
    <row r="716">
      <c r="H716" s="5"/>
      <c r="O716" s="5"/>
      <c r="V716" s="5"/>
      <c r="X716" s="28"/>
      <c r="Y716" s="26"/>
      <c r="Z716" s="26"/>
      <c r="AA716" s="26"/>
      <c r="AB716" s="26"/>
      <c r="AC716" s="26"/>
      <c r="AD716" s="26"/>
    </row>
    <row r="717">
      <c r="H717" s="5"/>
      <c r="O717" s="5"/>
      <c r="V717" s="5"/>
      <c r="X717" s="29"/>
      <c r="Y717" s="26"/>
      <c r="Z717" s="26"/>
      <c r="AA717" s="26"/>
      <c r="AB717" s="26"/>
      <c r="AC717" s="26"/>
      <c r="AD717" s="26"/>
    </row>
    <row r="718">
      <c r="H718" s="5"/>
      <c r="O718" s="5"/>
      <c r="V718" s="5"/>
      <c r="X718" s="28"/>
      <c r="Y718" s="26"/>
      <c r="Z718" s="26"/>
      <c r="AA718" s="26"/>
      <c r="AB718" s="26"/>
      <c r="AC718" s="26"/>
      <c r="AD718" s="26"/>
    </row>
    <row r="719">
      <c r="H719" s="5"/>
      <c r="O719" s="5"/>
      <c r="V719" s="5"/>
      <c r="X719" s="29"/>
      <c r="Y719" s="26"/>
      <c r="Z719" s="26"/>
      <c r="AA719" s="26"/>
      <c r="AB719" s="26"/>
      <c r="AC719" s="26"/>
      <c r="AD719" s="26"/>
    </row>
    <row r="720">
      <c r="H720" s="5"/>
      <c r="O720" s="5"/>
      <c r="V720" s="5"/>
      <c r="X720" s="28"/>
      <c r="Y720" s="26"/>
      <c r="Z720" s="26"/>
      <c r="AA720" s="26"/>
      <c r="AB720" s="26"/>
      <c r="AC720" s="26"/>
      <c r="AD720" s="26"/>
    </row>
    <row r="721">
      <c r="H721" s="5"/>
      <c r="O721" s="5"/>
      <c r="V721" s="5"/>
      <c r="X721" s="29"/>
      <c r="Y721" s="26"/>
      <c r="Z721" s="26"/>
      <c r="AA721" s="26"/>
      <c r="AB721" s="26"/>
      <c r="AC721" s="26"/>
      <c r="AD721" s="26"/>
    </row>
    <row r="722">
      <c r="H722" s="5"/>
      <c r="O722" s="5"/>
      <c r="V722" s="5"/>
      <c r="X722" s="28"/>
      <c r="Y722" s="26"/>
      <c r="Z722" s="26"/>
      <c r="AA722" s="26"/>
      <c r="AB722" s="26"/>
      <c r="AC722" s="26"/>
      <c r="AD722" s="26"/>
    </row>
    <row r="723">
      <c r="H723" s="5"/>
      <c r="O723" s="5"/>
      <c r="V723" s="5"/>
      <c r="X723" s="29"/>
      <c r="Y723" s="26"/>
      <c r="Z723" s="26"/>
      <c r="AA723" s="26"/>
      <c r="AB723" s="26"/>
      <c r="AC723" s="26"/>
      <c r="AD723" s="26"/>
    </row>
    <row r="724">
      <c r="H724" s="5"/>
      <c r="O724" s="5"/>
      <c r="V724" s="5"/>
      <c r="X724" s="28"/>
      <c r="Y724" s="26"/>
      <c r="Z724" s="26"/>
      <c r="AA724" s="26"/>
      <c r="AB724" s="26"/>
      <c r="AC724" s="26"/>
      <c r="AD724" s="26"/>
    </row>
    <row r="725">
      <c r="H725" s="5"/>
      <c r="O725" s="5"/>
      <c r="V725" s="5"/>
      <c r="X725" s="29"/>
      <c r="Y725" s="26"/>
      <c r="Z725" s="26"/>
      <c r="AA725" s="26"/>
      <c r="AB725" s="26"/>
      <c r="AC725" s="26"/>
      <c r="AD725" s="26"/>
    </row>
    <row r="726">
      <c r="H726" s="5"/>
      <c r="O726" s="5"/>
      <c r="V726" s="5"/>
      <c r="X726" s="28"/>
      <c r="Y726" s="26"/>
      <c r="Z726" s="26"/>
      <c r="AA726" s="26"/>
      <c r="AB726" s="26"/>
      <c r="AC726" s="26"/>
      <c r="AD726" s="26"/>
    </row>
    <row r="727">
      <c r="H727" s="5"/>
      <c r="O727" s="5"/>
      <c r="V727" s="5"/>
      <c r="X727" s="29"/>
      <c r="Y727" s="26"/>
      <c r="Z727" s="26"/>
      <c r="AA727" s="26"/>
      <c r="AB727" s="26"/>
      <c r="AC727" s="26"/>
      <c r="AD727" s="26"/>
    </row>
    <row r="728">
      <c r="H728" s="5"/>
      <c r="O728" s="5"/>
      <c r="V728" s="5"/>
      <c r="X728" s="28"/>
      <c r="Y728" s="26"/>
      <c r="Z728" s="26"/>
      <c r="AA728" s="26"/>
      <c r="AB728" s="26"/>
      <c r="AC728" s="26"/>
      <c r="AD728" s="26"/>
    </row>
    <row r="729">
      <c r="H729" s="5"/>
      <c r="O729" s="5"/>
      <c r="V729" s="5"/>
      <c r="X729" s="29"/>
      <c r="Y729" s="26"/>
      <c r="Z729" s="26"/>
      <c r="AA729" s="26"/>
      <c r="AB729" s="26"/>
      <c r="AC729" s="26"/>
      <c r="AD729" s="26"/>
    </row>
    <row r="730">
      <c r="H730" s="5"/>
      <c r="O730" s="5"/>
      <c r="V730" s="5"/>
      <c r="X730" s="28"/>
      <c r="Y730" s="26"/>
      <c r="Z730" s="26"/>
      <c r="AA730" s="26"/>
      <c r="AB730" s="26"/>
      <c r="AC730" s="26"/>
      <c r="AD730" s="26"/>
    </row>
    <row r="731">
      <c r="H731" s="5"/>
      <c r="O731" s="5"/>
      <c r="V731" s="5"/>
      <c r="X731" s="29"/>
      <c r="Y731" s="26"/>
      <c r="Z731" s="26"/>
      <c r="AA731" s="26"/>
      <c r="AB731" s="26"/>
      <c r="AC731" s="26"/>
      <c r="AD731" s="26"/>
    </row>
    <row r="732">
      <c r="H732" s="5"/>
      <c r="O732" s="5"/>
      <c r="V732" s="5"/>
      <c r="X732" s="28"/>
      <c r="Y732" s="26"/>
      <c r="Z732" s="26"/>
      <c r="AA732" s="26"/>
      <c r="AB732" s="26"/>
      <c r="AC732" s="26"/>
      <c r="AD732" s="26"/>
    </row>
    <row r="733">
      <c r="H733" s="5"/>
      <c r="O733" s="5"/>
      <c r="V733" s="5"/>
      <c r="X733" s="29"/>
      <c r="Y733" s="26"/>
      <c r="Z733" s="26"/>
      <c r="AA733" s="26"/>
      <c r="AB733" s="26"/>
      <c r="AC733" s="26"/>
      <c r="AD733" s="26"/>
    </row>
    <row r="734">
      <c r="H734" s="5"/>
      <c r="O734" s="5"/>
      <c r="V734" s="5"/>
      <c r="X734" s="28"/>
      <c r="Y734" s="26"/>
      <c r="Z734" s="26"/>
      <c r="AA734" s="26"/>
      <c r="AB734" s="26"/>
      <c r="AC734" s="26"/>
      <c r="AD734" s="26"/>
    </row>
    <row r="735">
      <c r="H735" s="5"/>
      <c r="O735" s="5"/>
      <c r="V735" s="5"/>
      <c r="X735" s="29"/>
      <c r="Y735" s="26"/>
      <c r="Z735" s="26"/>
      <c r="AA735" s="26"/>
      <c r="AB735" s="26"/>
      <c r="AC735" s="26"/>
      <c r="AD735" s="26"/>
    </row>
    <row r="736">
      <c r="H736" s="5"/>
      <c r="O736" s="5"/>
      <c r="V736" s="5"/>
      <c r="X736" s="28"/>
      <c r="Y736" s="26"/>
      <c r="Z736" s="26"/>
      <c r="AA736" s="26"/>
      <c r="AB736" s="26"/>
      <c r="AC736" s="26"/>
      <c r="AD736" s="26"/>
    </row>
    <row r="737">
      <c r="H737" s="5"/>
      <c r="O737" s="5"/>
      <c r="V737" s="5"/>
      <c r="X737" s="29"/>
      <c r="Y737" s="26"/>
      <c r="Z737" s="26"/>
      <c r="AA737" s="26"/>
      <c r="AB737" s="26"/>
      <c r="AC737" s="26"/>
      <c r="AD737" s="26"/>
    </row>
    <row r="738">
      <c r="H738" s="5"/>
      <c r="O738" s="5"/>
      <c r="V738" s="5"/>
      <c r="X738" s="28"/>
      <c r="Y738" s="26"/>
      <c r="Z738" s="26"/>
      <c r="AA738" s="26"/>
      <c r="AB738" s="26"/>
      <c r="AC738" s="26"/>
      <c r="AD738" s="26"/>
    </row>
    <row r="739">
      <c r="H739" s="5"/>
      <c r="O739" s="5"/>
      <c r="V739" s="5"/>
      <c r="X739" s="29"/>
      <c r="Y739" s="26"/>
      <c r="Z739" s="26"/>
      <c r="AA739" s="26"/>
      <c r="AB739" s="26"/>
      <c r="AC739" s="26"/>
      <c r="AD739" s="26"/>
    </row>
    <row r="740">
      <c r="H740" s="5"/>
      <c r="O740" s="5"/>
      <c r="V740" s="5"/>
      <c r="X740" s="28"/>
      <c r="Y740" s="26"/>
      <c r="Z740" s="26"/>
      <c r="AA740" s="26"/>
      <c r="AB740" s="26"/>
      <c r="AC740" s="26"/>
      <c r="AD740" s="26"/>
    </row>
    <row r="741">
      <c r="H741" s="5"/>
      <c r="O741" s="5"/>
      <c r="V741" s="5"/>
      <c r="X741" s="29"/>
      <c r="Y741" s="26"/>
      <c r="Z741" s="26"/>
      <c r="AA741" s="26"/>
      <c r="AB741" s="26"/>
      <c r="AC741" s="26"/>
      <c r="AD741" s="26"/>
    </row>
    <row r="742">
      <c r="H742" s="5"/>
      <c r="O742" s="5"/>
      <c r="V742" s="5"/>
      <c r="X742" s="28"/>
      <c r="Y742" s="26"/>
      <c r="Z742" s="26"/>
      <c r="AA742" s="26"/>
      <c r="AB742" s="26"/>
      <c r="AC742" s="26"/>
      <c r="AD742" s="26"/>
    </row>
    <row r="743">
      <c r="H743" s="5"/>
      <c r="O743" s="5"/>
      <c r="V743" s="5"/>
      <c r="X743" s="29"/>
      <c r="Y743" s="26"/>
      <c r="Z743" s="26"/>
      <c r="AA743" s="26"/>
      <c r="AB743" s="26"/>
      <c r="AC743" s="26"/>
      <c r="AD743" s="26"/>
    </row>
    <row r="744">
      <c r="H744" s="5"/>
      <c r="O744" s="5"/>
      <c r="V744" s="5"/>
      <c r="X744" s="28"/>
      <c r="Y744" s="26"/>
      <c r="Z744" s="26"/>
      <c r="AA744" s="26"/>
      <c r="AB744" s="26"/>
      <c r="AC744" s="26"/>
      <c r="AD744" s="26"/>
    </row>
    <row r="745">
      <c r="H745" s="5"/>
      <c r="O745" s="5"/>
      <c r="V745" s="5"/>
      <c r="X745" s="29"/>
      <c r="Y745" s="26"/>
      <c r="Z745" s="26"/>
      <c r="AA745" s="26"/>
      <c r="AB745" s="26"/>
      <c r="AC745" s="26"/>
      <c r="AD745" s="26"/>
    </row>
    <row r="746">
      <c r="H746" s="5"/>
      <c r="O746" s="5"/>
      <c r="V746" s="5"/>
      <c r="X746" s="28"/>
      <c r="Y746" s="26"/>
      <c r="Z746" s="26"/>
      <c r="AA746" s="26"/>
      <c r="AB746" s="26"/>
      <c r="AC746" s="26"/>
      <c r="AD746" s="26"/>
    </row>
    <row r="747">
      <c r="H747" s="5"/>
      <c r="O747" s="5"/>
      <c r="V747" s="5"/>
      <c r="X747" s="29"/>
      <c r="Y747" s="26"/>
      <c r="Z747" s="26"/>
      <c r="AA747" s="26"/>
      <c r="AB747" s="26"/>
      <c r="AC747" s="26"/>
      <c r="AD747" s="26"/>
    </row>
    <row r="748">
      <c r="H748" s="5"/>
      <c r="O748" s="5"/>
      <c r="V748" s="5"/>
      <c r="X748" s="28"/>
      <c r="Y748" s="26"/>
      <c r="Z748" s="26"/>
      <c r="AA748" s="26"/>
      <c r="AB748" s="26"/>
      <c r="AC748" s="26"/>
      <c r="AD748" s="26"/>
    </row>
    <row r="749">
      <c r="H749" s="5"/>
      <c r="O749" s="5"/>
      <c r="V749" s="5"/>
      <c r="X749" s="29"/>
      <c r="Y749" s="26"/>
      <c r="Z749" s="26"/>
      <c r="AA749" s="26"/>
      <c r="AB749" s="26"/>
      <c r="AC749" s="26"/>
      <c r="AD749" s="26"/>
    </row>
    <row r="750">
      <c r="H750" s="5"/>
      <c r="O750" s="5"/>
      <c r="V750" s="5"/>
      <c r="X750" s="28"/>
      <c r="Y750" s="26"/>
      <c r="Z750" s="26"/>
      <c r="AA750" s="26"/>
      <c r="AB750" s="26"/>
      <c r="AC750" s="26"/>
      <c r="AD750" s="26"/>
    </row>
    <row r="751">
      <c r="H751" s="5"/>
      <c r="O751" s="5"/>
      <c r="V751" s="5"/>
      <c r="X751" s="29"/>
      <c r="Y751" s="26"/>
      <c r="Z751" s="26"/>
      <c r="AA751" s="26"/>
      <c r="AB751" s="26"/>
      <c r="AC751" s="26"/>
      <c r="AD751" s="26"/>
    </row>
    <row r="752">
      <c r="H752" s="5"/>
      <c r="O752" s="5"/>
      <c r="V752" s="5"/>
      <c r="X752" s="28"/>
      <c r="Y752" s="26"/>
      <c r="Z752" s="26"/>
      <c r="AA752" s="26"/>
      <c r="AB752" s="26"/>
      <c r="AC752" s="26"/>
      <c r="AD752" s="26"/>
    </row>
    <row r="753">
      <c r="H753" s="5"/>
      <c r="O753" s="5"/>
      <c r="V753" s="5"/>
      <c r="X753" s="29"/>
      <c r="Y753" s="26"/>
      <c r="Z753" s="26"/>
      <c r="AA753" s="26"/>
      <c r="AB753" s="26"/>
      <c r="AC753" s="26"/>
      <c r="AD753" s="26"/>
    </row>
    <row r="754">
      <c r="H754" s="5"/>
      <c r="O754" s="5"/>
      <c r="V754" s="5"/>
      <c r="X754" s="28"/>
      <c r="Y754" s="26"/>
      <c r="Z754" s="26"/>
      <c r="AA754" s="26"/>
      <c r="AB754" s="26"/>
      <c r="AC754" s="26"/>
      <c r="AD754" s="26"/>
    </row>
    <row r="755">
      <c r="H755" s="5"/>
      <c r="O755" s="5"/>
      <c r="V755" s="5"/>
      <c r="X755" s="29"/>
      <c r="Y755" s="26"/>
      <c r="Z755" s="26"/>
      <c r="AA755" s="26"/>
      <c r="AB755" s="26"/>
      <c r="AC755" s="26"/>
      <c r="AD755" s="26"/>
    </row>
    <row r="756">
      <c r="H756" s="5"/>
      <c r="O756" s="5"/>
      <c r="V756" s="5"/>
      <c r="X756" s="28"/>
      <c r="Y756" s="26"/>
      <c r="Z756" s="26"/>
      <c r="AA756" s="26"/>
      <c r="AB756" s="26"/>
      <c r="AC756" s="26"/>
      <c r="AD756" s="26"/>
    </row>
    <row r="757">
      <c r="H757" s="5"/>
      <c r="O757" s="5"/>
      <c r="V757" s="5"/>
      <c r="X757" s="29"/>
      <c r="Y757" s="26"/>
      <c r="Z757" s="26"/>
      <c r="AA757" s="26"/>
      <c r="AB757" s="26"/>
      <c r="AC757" s="26"/>
      <c r="AD757" s="26"/>
    </row>
    <row r="758">
      <c r="H758" s="5"/>
      <c r="O758" s="5"/>
      <c r="V758" s="5"/>
      <c r="X758" s="28"/>
      <c r="Y758" s="26"/>
      <c r="Z758" s="26"/>
      <c r="AA758" s="26"/>
      <c r="AB758" s="26"/>
      <c r="AC758" s="26"/>
      <c r="AD758" s="26"/>
    </row>
    <row r="759">
      <c r="H759" s="5"/>
      <c r="O759" s="5"/>
      <c r="V759" s="5"/>
      <c r="X759" s="29"/>
      <c r="Y759" s="26"/>
      <c r="Z759" s="26"/>
      <c r="AA759" s="26"/>
      <c r="AB759" s="26"/>
      <c r="AC759" s="26"/>
      <c r="AD759" s="26"/>
    </row>
    <row r="760">
      <c r="H760" s="5"/>
      <c r="O760" s="5"/>
      <c r="V760" s="5"/>
      <c r="X760" s="28"/>
      <c r="Y760" s="26"/>
      <c r="Z760" s="26"/>
      <c r="AA760" s="26"/>
      <c r="AB760" s="26"/>
      <c r="AC760" s="26"/>
      <c r="AD760" s="26"/>
    </row>
    <row r="761">
      <c r="H761" s="5"/>
      <c r="O761" s="5"/>
      <c r="V761" s="5"/>
      <c r="X761" s="29"/>
      <c r="Y761" s="26"/>
      <c r="Z761" s="26"/>
      <c r="AA761" s="26"/>
      <c r="AB761" s="26"/>
      <c r="AC761" s="26"/>
      <c r="AD761" s="26"/>
    </row>
    <row r="762">
      <c r="H762" s="5"/>
      <c r="O762" s="5"/>
      <c r="V762" s="5"/>
      <c r="X762" s="28"/>
      <c r="Y762" s="26"/>
      <c r="Z762" s="26"/>
      <c r="AA762" s="26"/>
      <c r="AB762" s="26"/>
      <c r="AC762" s="26"/>
      <c r="AD762" s="26"/>
    </row>
    <row r="763">
      <c r="H763" s="5"/>
      <c r="O763" s="5"/>
      <c r="V763" s="5"/>
      <c r="X763" s="29"/>
      <c r="Y763" s="26"/>
      <c r="Z763" s="26"/>
      <c r="AA763" s="26"/>
      <c r="AB763" s="26"/>
      <c r="AC763" s="26"/>
      <c r="AD763" s="26"/>
    </row>
    <row r="764">
      <c r="H764" s="5"/>
      <c r="O764" s="5"/>
      <c r="V764" s="5"/>
      <c r="X764" s="28"/>
      <c r="Y764" s="26"/>
      <c r="Z764" s="26"/>
      <c r="AA764" s="26"/>
      <c r="AB764" s="26"/>
      <c r="AC764" s="26"/>
      <c r="AD764" s="26"/>
    </row>
    <row r="765">
      <c r="H765" s="5"/>
      <c r="O765" s="5"/>
      <c r="V765" s="5"/>
      <c r="X765" s="29"/>
      <c r="Y765" s="26"/>
      <c r="Z765" s="26"/>
      <c r="AA765" s="26"/>
      <c r="AB765" s="26"/>
      <c r="AC765" s="26"/>
      <c r="AD765" s="26"/>
    </row>
    <row r="766">
      <c r="H766" s="5"/>
      <c r="O766" s="5"/>
      <c r="V766" s="5"/>
      <c r="X766" s="28"/>
      <c r="Y766" s="26"/>
      <c r="Z766" s="26"/>
      <c r="AA766" s="26"/>
      <c r="AB766" s="26"/>
      <c r="AC766" s="26"/>
      <c r="AD766" s="26"/>
    </row>
    <row r="767">
      <c r="H767" s="5"/>
      <c r="O767" s="5"/>
      <c r="V767" s="5"/>
      <c r="X767" s="29"/>
      <c r="Y767" s="26"/>
      <c r="Z767" s="26"/>
      <c r="AA767" s="26"/>
      <c r="AB767" s="26"/>
      <c r="AC767" s="26"/>
      <c r="AD767" s="26"/>
    </row>
    <row r="768">
      <c r="H768" s="5"/>
      <c r="O768" s="5"/>
      <c r="V768" s="5"/>
      <c r="X768" s="28"/>
      <c r="Y768" s="26"/>
      <c r="Z768" s="26"/>
      <c r="AA768" s="26"/>
      <c r="AB768" s="26"/>
      <c r="AC768" s="26"/>
      <c r="AD768" s="26"/>
    </row>
    <row r="769">
      <c r="H769" s="5"/>
      <c r="O769" s="5"/>
      <c r="V769" s="5"/>
      <c r="X769" s="29"/>
      <c r="Y769" s="26"/>
      <c r="Z769" s="26"/>
      <c r="AA769" s="26"/>
      <c r="AB769" s="26"/>
      <c r="AC769" s="26"/>
      <c r="AD769" s="26"/>
    </row>
    <row r="770">
      <c r="H770" s="5"/>
      <c r="O770" s="5"/>
      <c r="V770" s="5"/>
      <c r="X770" s="28"/>
      <c r="Y770" s="26"/>
      <c r="Z770" s="26"/>
      <c r="AA770" s="26"/>
      <c r="AB770" s="26"/>
      <c r="AC770" s="26"/>
      <c r="AD770" s="26"/>
    </row>
    <row r="771">
      <c r="H771" s="5"/>
      <c r="O771" s="5"/>
      <c r="V771" s="5"/>
      <c r="X771" s="29"/>
      <c r="Y771" s="26"/>
      <c r="Z771" s="26"/>
      <c r="AA771" s="26"/>
      <c r="AB771" s="26"/>
      <c r="AC771" s="26"/>
      <c r="AD771" s="26"/>
    </row>
    <row r="772">
      <c r="H772" s="5"/>
      <c r="O772" s="5"/>
      <c r="V772" s="5"/>
      <c r="X772" s="28"/>
      <c r="Y772" s="26"/>
      <c r="Z772" s="26"/>
      <c r="AA772" s="26"/>
      <c r="AB772" s="26"/>
      <c r="AC772" s="26"/>
      <c r="AD772" s="26"/>
    </row>
    <row r="773">
      <c r="H773" s="5"/>
      <c r="O773" s="5"/>
      <c r="V773" s="5"/>
      <c r="X773" s="29"/>
      <c r="Y773" s="26"/>
      <c r="Z773" s="26"/>
      <c r="AA773" s="26"/>
      <c r="AB773" s="26"/>
      <c r="AC773" s="26"/>
      <c r="AD773" s="26"/>
    </row>
    <row r="774">
      <c r="H774" s="5"/>
      <c r="O774" s="5"/>
      <c r="V774" s="5"/>
      <c r="X774" s="28"/>
      <c r="Y774" s="26"/>
      <c r="Z774" s="26"/>
      <c r="AA774" s="26"/>
      <c r="AB774" s="26"/>
      <c r="AC774" s="26"/>
      <c r="AD774" s="26"/>
    </row>
    <row r="775">
      <c r="H775" s="5"/>
      <c r="O775" s="5"/>
      <c r="V775" s="5"/>
      <c r="X775" s="29"/>
      <c r="Y775" s="26"/>
      <c r="Z775" s="26"/>
      <c r="AA775" s="26"/>
      <c r="AB775" s="26"/>
      <c r="AC775" s="26"/>
      <c r="AD775" s="26"/>
    </row>
    <row r="776">
      <c r="H776" s="5"/>
      <c r="O776" s="5"/>
      <c r="V776" s="5"/>
      <c r="X776" s="28"/>
      <c r="Y776" s="26"/>
      <c r="Z776" s="26"/>
      <c r="AA776" s="26"/>
      <c r="AB776" s="26"/>
      <c r="AC776" s="26"/>
      <c r="AD776" s="26"/>
    </row>
    <row r="777">
      <c r="H777" s="5"/>
      <c r="O777" s="5"/>
      <c r="V777" s="5"/>
      <c r="X777" s="29"/>
      <c r="Y777" s="26"/>
      <c r="Z777" s="26"/>
      <c r="AA777" s="26"/>
      <c r="AB777" s="26"/>
      <c r="AC777" s="26"/>
      <c r="AD777" s="26"/>
    </row>
    <row r="778">
      <c r="H778" s="5"/>
      <c r="O778" s="5"/>
      <c r="V778" s="5"/>
      <c r="X778" s="28"/>
      <c r="Y778" s="26"/>
      <c r="Z778" s="26"/>
      <c r="AA778" s="26"/>
      <c r="AB778" s="26"/>
      <c r="AC778" s="26"/>
      <c r="AD778" s="26"/>
    </row>
    <row r="779">
      <c r="H779" s="5"/>
      <c r="O779" s="5"/>
      <c r="V779" s="5"/>
      <c r="X779" s="29"/>
      <c r="Y779" s="26"/>
      <c r="Z779" s="26"/>
      <c r="AA779" s="26"/>
      <c r="AB779" s="26"/>
      <c r="AC779" s="26"/>
      <c r="AD779" s="26"/>
    </row>
    <row r="780">
      <c r="H780" s="5"/>
      <c r="O780" s="5"/>
      <c r="V780" s="5"/>
      <c r="X780" s="28"/>
      <c r="Y780" s="26"/>
      <c r="Z780" s="26"/>
      <c r="AA780" s="26"/>
      <c r="AB780" s="26"/>
      <c r="AC780" s="26"/>
      <c r="AD780" s="26"/>
    </row>
    <row r="781">
      <c r="H781" s="5"/>
      <c r="O781" s="5"/>
      <c r="V781" s="5"/>
      <c r="X781" s="29"/>
      <c r="Y781" s="26"/>
      <c r="Z781" s="26"/>
      <c r="AA781" s="26"/>
      <c r="AB781" s="26"/>
      <c r="AC781" s="26"/>
      <c r="AD781" s="26"/>
    </row>
    <row r="782">
      <c r="H782" s="5"/>
      <c r="O782" s="5"/>
      <c r="V782" s="5"/>
      <c r="X782" s="28"/>
      <c r="Y782" s="26"/>
      <c r="Z782" s="26"/>
      <c r="AA782" s="26"/>
      <c r="AB782" s="26"/>
      <c r="AC782" s="26"/>
      <c r="AD782" s="26"/>
    </row>
    <row r="783">
      <c r="H783" s="5"/>
      <c r="O783" s="5"/>
      <c r="V783" s="5"/>
      <c r="X783" s="29"/>
      <c r="Y783" s="26"/>
      <c r="Z783" s="26"/>
      <c r="AA783" s="26"/>
      <c r="AB783" s="26"/>
      <c r="AC783" s="26"/>
      <c r="AD783" s="26"/>
    </row>
    <row r="784">
      <c r="H784" s="5"/>
      <c r="O784" s="5"/>
      <c r="V784" s="5"/>
      <c r="X784" s="28"/>
      <c r="Y784" s="26"/>
      <c r="Z784" s="26"/>
      <c r="AA784" s="26"/>
      <c r="AB784" s="26"/>
      <c r="AC784" s="26"/>
      <c r="AD784" s="26"/>
    </row>
    <row r="785">
      <c r="H785" s="5"/>
      <c r="O785" s="5"/>
      <c r="V785" s="5"/>
      <c r="X785" s="29"/>
      <c r="Y785" s="26"/>
      <c r="Z785" s="26"/>
      <c r="AA785" s="26"/>
      <c r="AB785" s="26"/>
      <c r="AC785" s="26"/>
      <c r="AD785" s="26"/>
    </row>
    <row r="786">
      <c r="H786" s="5"/>
      <c r="O786" s="5"/>
      <c r="V786" s="5"/>
      <c r="X786" s="28"/>
      <c r="Y786" s="26"/>
      <c r="Z786" s="26"/>
      <c r="AA786" s="26"/>
      <c r="AB786" s="26"/>
      <c r="AC786" s="26"/>
      <c r="AD786" s="26"/>
    </row>
    <row r="787">
      <c r="H787" s="5"/>
      <c r="O787" s="5"/>
      <c r="V787" s="5"/>
      <c r="X787" s="29"/>
      <c r="Y787" s="26"/>
      <c r="Z787" s="26"/>
      <c r="AA787" s="26"/>
      <c r="AB787" s="26"/>
      <c r="AC787" s="26"/>
      <c r="AD787" s="26"/>
    </row>
    <row r="788">
      <c r="H788" s="5"/>
      <c r="O788" s="5"/>
      <c r="V788" s="5"/>
      <c r="X788" s="28"/>
      <c r="Y788" s="26"/>
      <c r="Z788" s="26"/>
      <c r="AA788" s="26"/>
      <c r="AB788" s="26"/>
      <c r="AC788" s="26"/>
      <c r="AD788" s="26"/>
    </row>
    <row r="789">
      <c r="H789" s="5"/>
      <c r="O789" s="5"/>
      <c r="V789" s="5"/>
      <c r="X789" s="29"/>
      <c r="Y789" s="26"/>
      <c r="Z789" s="26"/>
      <c r="AA789" s="26"/>
      <c r="AB789" s="26"/>
      <c r="AC789" s="26"/>
      <c r="AD789" s="26"/>
    </row>
    <row r="790">
      <c r="H790" s="5"/>
      <c r="O790" s="5"/>
      <c r="V790" s="5"/>
      <c r="X790" s="28"/>
      <c r="Y790" s="26"/>
      <c r="Z790" s="26"/>
      <c r="AA790" s="26"/>
      <c r="AB790" s="26"/>
      <c r="AC790" s="26"/>
      <c r="AD790" s="26"/>
    </row>
    <row r="791">
      <c r="H791" s="5"/>
      <c r="O791" s="5"/>
      <c r="V791" s="5"/>
      <c r="X791" s="29"/>
      <c r="Y791" s="26"/>
      <c r="Z791" s="26"/>
      <c r="AA791" s="26"/>
      <c r="AB791" s="26"/>
      <c r="AC791" s="26"/>
      <c r="AD791" s="26"/>
    </row>
    <row r="792">
      <c r="H792" s="5"/>
      <c r="O792" s="5"/>
      <c r="V792" s="5"/>
      <c r="X792" s="28"/>
      <c r="Y792" s="26"/>
      <c r="Z792" s="26"/>
      <c r="AA792" s="26"/>
      <c r="AB792" s="26"/>
      <c r="AC792" s="26"/>
      <c r="AD792" s="26"/>
    </row>
    <row r="793">
      <c r="H793" s="5"/>
      <c r="O793" s="5"/>
      <c r="V793" s="5"/>
      <c r="X793" s="29"/>
      <c r="Y793" s="26"/>
      <c r="Z793" s="26"/>
      <c r="AA793" s="26"/>
      <c r="AB793" s="26"/>
      <c r="AC793" s="26"/>
      <c r="AD793" s="26"/>
    </row>
    <row r="794">
      <c r="H794" s="5"/>
      <c r="O794" s="5"/>
      <c r="V794" s="5"/>
      <c r="X794" s="28"/>
      <c r="Y794" s="26"/>
      <c r="Z794" s="26"/>
      <c r="AA794" s="26"/>
      <c r="AB794" s="26"/>
      <c r="AC794" s="26"/>
      <c r="AD794" s="26"/>
    </row>
    <row r="795">
      <c r="H795" s="5"/>
      <c r="O795" s="5"/>
      <c r="V795" s="5"/>
      <c r="X795" s="29"/>
      <c r="Y795" s="26"/>
      <c r="Z795" s="26"/>
      <c r="AA795" s="26"/>
      <c r="AB795" s="26"/>
      <c r="AC795" s="26"/>
      <c r="AD795" s="26"/>
    </row>
    <row r="796">
      <c r="H796" s="5"/>
      <c r="O796" s="5"/>
      <c r="V796" s="5"/>
      <c r="X796" s="28"/>
      <c r="Y796" s="26"/>
      <c r="Z796" s="26"/>
      <c r="AA796" s="26"/>
      <c r="AB796" s="26"/>
      <c r="AC796" s="26"/>
      <c r="AD796" s="26"/>
    </row>
    <row r="797">
      <c r="H797" s="5"/>
      <c r="O797" s="5"/>
      <c r="V797" s="5"/>
      <c r="X797" s="29"/>
      <c r="Y797" s="26"/>
      <c r="Z797" s="26"/>
      <c r="AA797" s="26"/>
      <c r="AB797" s="26"/>
      <c r="AC797" s="26"/>
      <c r="AD797" s="26"/>
    </row>
    <row r="798">
      <c r="H798" s="5"/>
      <c r="O798" s="5"/>
      <c r="V798" s="5"/>
      <c r="X798" s="28"/>
      <c r="Y798" s="26"/>
      <c r="Z798" s="26"/>
      <c r="AA798" s="26"/>
      <c r="AB798" s="26"/>
      <c r="AC798" s="26"/>
      <c r="AD798" s="26"/>
    </row>
    <row r="799">
      <c r="H799" s="5"/>
      <c r="O799" s="5"/>
      <c r="V799" s="5"/>
      <c r="X799" s="29"/>
      <c r="Y799" s="26"/>
      <c r="Z799" s="26"/>
      <c r="AA799" s="26"/>
      <c r="AB799" s="26"/>
      <c r="AC799" s="26"/>
      <c r="AD799" s="26"/>
    </row>
    <row r="800">
      <c r="H800" s="5"/>
      <c r="O800" s="5"/>
      <c r="V800" s="5"/>
      <c r="X800" s="28"/>
      <c r="Y800" s="26"/>
      <c r="Z800" s="26"/>
      <c r="AA800" s="26"/>
      <c r="AB800" s="26"/>
      <c r="AC800" s="26"/>
      <c r="AD800" s="26"/>
    </row>
    <row r="801">
      <c r="H801" s="5"/>
      <c r="O801" s="5"/>
      <c r="V801" s="5"/>
      <c r="X801" s="29"/>
      <c r="Y801" s="26"/>
      <c r="Z801" s="26"/>
      <c r="AA801" s="26"/>
      <c r="AB801" s="26"/>
      <c r="AC801" s="26"/>
      <c r="AD801" s="26"/>
    </row>
    <row r="802">
      <c r="H802" s="5"/>
      <c r="O802" s="5"/>
      <c r="V802" s="5"/>
      <c r="X802" s="28"/>
      <c r="Y802" s="26"/>
      <c r="Z802" s="26"/>
      <c r="AA802" s="26"/>
      <c r="AB802" s="26"/>
      <c r="AC802" s="26"/>
      <c r="AD802" s="26"/>
    </row>
    <row r="803">
      <c r="H803" s="5"/>
      <c r="O803" s="5"/>
      <c r="V803" s="5"/>
      <c r="X803" s="29"/>
      <c r="Y803" s="26"/>
      <c r="Z803" s="26"/>
      <c r="AA803" s="26"/>
      <c r="AB803" s="26"/>
      <c r="AC803" s="26"/>
      <c r="AD803" s="26"/>
    </row>
    <row r="804">
      <c r="H804" s="5"/>
      <c r="O804" s="5"/>
      <c r="V804" s="5"/>
      <c r="X804" s="28"/>
      <c r="Y804" s="26"/>
      <c r="Z804" s="26"/>
      <c r="AA804" s="26"/>
      <c r="AB804" s="26"/>
      <c r="AC804" s="26"/>
      <c r="AD804" s="26"/>
    </row>
    <row r="805">
      <c r="H805" s="5"/>
      <c r="O805" s="5"/>
      <c r="V805" s="5"/>
      <c r="X805" s="29"/>
      <c r="Y805" s="26"/>
      <c r="Z805" s="26"/>
      <c r="AA805" s="26"/>
      <c r="AB805" s="26"/>
      <c r="AC805" s="26"/>
      <c r="AD805" s="26"/>
    </row>
    <row r="806">
      <c r="H806" s="5"/>
      <c r="O806" s="5"/>
      <c r="V806" s="5"/>
      <c r="X806" s="28"/>
      <c r="Y806" s="26"/>
      <c r="Z806" s="26"/>
      <c r="AA806" s="26"/>
      <c r="AB806" s="26"/>
      <c r="AC806" s="26"/>
      <c r="AD806" s="26"/>
    </row>
    <row r="807">
      <c r="H807" s="5"/>
      <c r="O807" s="5"/>
      <c r="V807" s="5"/>
      <c r="X807" s="29"/>
      <c r="Y807" s="26"/>
      <c r="Z807" s="26"/>
      <c r="AA807" s="26"/>
      <c r="AB807" s="26"/>
      <c r="AC807" s="26"/>
      <c r="AD807" s="26"/>
    </row>
    <row r="808">
      <c r="H808" s="5"/>
      <c r="O808" s="5"/>
      <c r="V808" s="5"/>
      <c r="X808" s="28"/>
      <c r="Y808" s="26"/>
      <c r="Z808" s="26"/>
      <c r="AA808" s="26"/>
      <c r="AB808" s="26"/>
      <c r="AC808" s="26"/>
      <c r="AD808" s="26"/>
    </row>
    <row r="809">
      <c r="H809" s="5"/>
      <c r="O809" s="5"/>
      <c r="V809" s="5"/>
      <c r="X809" s="29"/>
      <c r="Y809" s="26"/>
      <c r="Z809" s="26"/>
      <c r="AA809" s="26"/>
      <c r="AB809" s="26"/>
      <c r="AC809" s="26"/>
      <c r="AD809" s="26"/>
    </row>
    <row r="810">
      <c r="H810" s="5"/>
      <c r="O810" s="5"/>
      <c r="V810" s="5"/>
      <c r="X810" s="28"/>
      <c r="Y810" s="26"/>
      <c r="Z810" s="26"/>
      <c r="AA810" s="26"/>
      <c r="AB810" s="26"/>
      <c r="AC810" s="26"/>
      <c r="AD810" s="26"/>
    </row>
    <row r="811">
      <c r="H811" s="5"/>
      <c r="O811" s="5"/>
      <c r="V811" s="5"/>
      <c r="X811" s="29"/>
      <c r="Y811" s="26"/>
      <c r="Z811" s="26"/>
      <c r="AA811" s="26"/>
      <c r="AB811" s="26"/>
      <c r="AC811" s="26"/>
      <c r="AD811" s="26"/>
    </row>
    <row r="812">
      <c r="H812" s="5"/>
      <c r="O812" s="5"/>
      <c r="V812" s="5"/>
      <c r="X812" s="28"/>
      <c r="Y812" s="26"/>
      <c r="Z812" s="26"/>
      <c r="AA812" s="26"/>
      <c r="AB812" s="26"/>
      <c r="AC812" s="26"/>
      <c r="AD812" s="26"/>
    </row>
    <row r="813">
      <c r="H813" s="5"/>
      <c r="O813" s="5"/>
      <c r="V813" s="5"/>
      <c r="X813" s="29"/>
      <c r="Y813" s="26"/>
      <c r="Z813" s="26"/>
      <c r="AA813" s="26"/>
      <c r="AB813" s="26"/>
      <c r="AC813" s="26"/>
      <c r="AD813" s="26"/>
    </row>
    <row r="814">
      <c r="H814" s="5"/>
      <c r="O814" s="5"/>
      <c r="V814" s="5"/>
      <c r="X814" s="28"/>
      <c r="Y814" s="26"/>
      <c r="Z814" s="26"/>
      <c r="AA814" s="26"/>
      <c r="AB814" s="26"/>
      <c r="AC814" s="26"/>
      <c r="AD814" s="26"/>
    </row>
    <row r="815">
      <c r="H815" s="5"/>
      <c r="O815" s="5"/>
      <c r="V815" s="5"/>
      <c r="X815" s="29"/>
      <c r="Y815" s="26"/>
      <c r="Z815" s="26"/>
      <c r="AA815" s="26"/>
      <c r="AB815" s="26"/>
      <c r="AC815" s="26"/>
      <c r="AD815" s="26"/>
    </row>
    <row r="816">
      <c r="H816" s="5"/>
      <c r="O816" s="5"/>
      <c r="V816" s="5"/>
      <c r="X816" s="28"/>
      <c r="Y816" s="26"/>
      <c r="Z816" s="26"/>
      <c r="AA816" s="26"/>
      <c r="AB816" s="26"/>
      <c r="AC816" s="26"/>
      <c r="AD816" s="26"/>
    </row>
    <row r="817">
      <c r="H817" s="5"/>
      <c r="O817" s="5"/>
      <c r="V817" s="5"/>
      <c r="X817" s="29"/>
      <c r="Y817" s="26"/>
      <c r="Z817" s="26"/>
      <c r="AA817" s="26"/>
      <c r="AB817" s="26"/>
      <c r="AC817" s="26"/>
      <c r="AD817" s="26"/>
    </row>
    <row r="818">
      <c r="H818" s="5"/>
      <c r="O818" s="5"/>
      <c r="V818" s="5"/>
      <c r="X818" s="28"/>
      <c r="Y818" s="26"/>
      <c r="Z818" s="26"/>
      <c r="AA818" s="26"/>
      <c r="AB818" s="26"/>
      <c r="AC818" s="26"/>
      <c r="AD818" s="26"/>
    </row>
    <row r="819">
      <c r="H819" s="5"/>
      <c r="O819" s="5"/>
      <c r="V819" s="5"/>
      <c r="X819" s="29"/>
      <c r="Y819" s="26"/>
      <c r="Z819" s="26"/>
      <c r="AA819" s="26"/>
      <c r="AB819" s="26"/>
      <c r="AC819" s="26"/>
      <c r="AD819" s="26"/>
    </row>
    <row r="820">
      <c r="H820" s="5"/>
      <c r="O820" s="5"/>
      <c r="V820" s="5"/>
      <c r="X820" s="28"/>
      <c r="Y820" s="26"/>
      <c r="Z820" s="26"/>
      <c r="AA820" s="26"/>
      <c r="AB820" s="26"/>
      <c r="AC820" s="26"/>
      <c r="AD820" s="26"/>
    </row>
    <row r="821">
      <c r="H821" s="5"/>
      <c r="O821" s="5"/>
      <c r="V821" s="5"/>
      <c r="X821" s="29"/>
      <c r="Y821" s="26"/>
      <c r="Z821" s="26"/>
      <c r="AA821" s="26"/>
      <c r="AB821" s="26"/>
      <c r="AC821" s="26"/>
      <c r="AD821" s="26"/>
    </row>
    <row r="822">
      <c r="H822" s="5"/>
      <c r="O822" s="5"/>
      <c r="V822" s="5"/>
      <c r="X822" s="28"/>
      <c r="Y822" s="26"/>
      <c r="Z822" s="26"/>
      <c r="AA822" s="26"/>
      <c r="AB822" s="26"/>
      <c r="AC822" s="26"/>
      <c r="AD822" s="26"/>
    </row>
    <row r="823">
      <c r="H823" s="5"/>
      <c r="O823" s="5"/>
      <c r="V823" s="5"/>
      <c r="X823" s="29"/>
      <c r="Y823" s="26"/>
      <c r="Z823" s="26"/>
      <c r="AA823" s="26"/>
      <c r="AB823" s="26"/>
      <c r="AC823" s="26"/>
      <c r="AD823" s="26"/>
    </row>
    <row r="824">
      <c r="H824" s="5"/>
      <c r="O824" s="5"/>
      <c r="V824" s="5"/>
      <c r="X824" s="28"/>
      <c r="Y824" s="26"/>
      <c r="Z824" s="26"/>
      <c r="AA824" s="26"/>
      <c r="AB824" s="26"/>
      <c r="AC824" s="26"/>
      <c r="AD824" s="26"/>
    </row>
    <row r="825">
      <c r="H825" s="5"/>
      <c r="O825" s="5"/>
      <c r="V825" s="5"/>
      <c r="X825" s="29"/>
      <c r="Y825" s="26"/>
      <c r="Z825" s="26"/>
      <c r="AA825" s="26"/>
      <c r="AB825" s="26"/>
      <c r="AC825" s="26"/>
      <c r="AD825" s="26"/>
    </row>
    <row r="826">
      <c r="H826" s="5"/>
      <c r="O826" s="5"/>
      <c r="V826" s="5"/>
      <c r="X826" s="28"/>
      <c r="Y826" s="26"/>
      <c r="Z826" s="26"/>
      <c r="AA826" s="26"/>
      <c r="AB826" s="26"/>
      <c r="AC826" s="26"/>
      <c r="AD826" s="26"/>
    </row>
    <row r="827">
      <c r="H827" s="5"/>
      <c r="O827" s="5"/>
      <c r="V827" s="5"/>
      <c r="X827" s="29"/>
      <c r="Y827" s="26"/>
      <c r="Z827" s="26"/>
      <c r="AA827" s="26"/>
      <c r="AB827" s="26"/>
      <c r="AC827" s="26"/>
      <c r="AD827" s="26"/>
    </row>
    <row r="828">
      <c r="H828" s="5"/>
      <c r="O828" s="5"/>
      <c r="V828" s="5"/>
      <c r="X828" s="28"/>
      <c r="Y828" s="26"/>
      <c r="Z828" s="26"/>
      <c r="AA828" s="26"/>
      <c r="AB828" s="26"/>
      <c r="AC828" s="26"/>
      <c r="AD828" s="26"/>
    </row>
    <row r="829">
      <c r="H829" s="5"/>
      <c r="O829" s="5"/>
      <c r="V829" s="5"/>
      <c r="X829" s="29"/>
      <c r="Y829" s="26"/>
      <c r="Z829" s="26"/>
      <c r="AA829" s="26"/>
      <c r="AB829" s="26"/>
      <c r="AC829" s="26"/>
      <c r="AD829" s="26"/>
    </row>
    <row r="830">
      <c r="H830" s="5"/>
      <c r="O830" s="5"/>
      <c r="V830" s="5"/>
      <c r="X830" s="28"/>
      <c r="Y830" s="26"/>
      <c r="Z830" s="26"/>
      <c r="AA830" s="26"/>
      <c r="AB830" s="26"/>
      <c r="AC830" s="26"/>
      <c r="AD830" s="26"/>
    </row>
    <row r="831">
      <c r="H831" s="5"/>
      <c r="O831" s="5"/>
      <c r="V831" s="5"/>
      <c r="X831" s="29"/>
      <c r="Y831" s="26"/>
      <c r="Z831" s="26"/>
      <c r="AA831" s="26"/>
      <c r="AB831" s="26"/>
      <c r="AC831" s="26"/>
      <c r="AD831" s="26"/>
    </row>
    <row r="832">
      <c r="H832" s="5"/>
      <c r="O832" s="5"/>
      <c r="V832" s="5"/>
      <c r="X832" s="28"/>
      <c r="Y832" s="26"/>
      <c r="Z832" s="26"/>
      <c r="AA832" s="26"/>
      <c r="AB832" s="26"/>
      <c r="AC832" s="26"/>
      <c r="AD832" s="26"/>
    </row>
    <row r="833">
      <c r="H833" s="5"/>
      <c r="O833" s="5"/>
      <c r="V833" s="5"/>
      <c r="X833" s="29"/>
      <c r="Y833" s="26"/>
      <c r="Z833" s="26"/>
      <c r="AA833" s="26"/>
      <c r="AB833" s="26"/>
      <c r="AC833" s="26"/>
      <c r="AD833" s="26"/>
    </row>
    <row r="834">
      <c r="H834" s="5"/>
      <c r="O834" s="5"/>
      <c r="V834" s="5"/>
      <c r="X834" s="28"/>
      <c r="Y834" s="26"/>
      <c r="Z834" s="26"/>
      <c r="AA834" s="26"/>
      <c r="AB834" s="26"/>
      <c r="AC834" s="26"/>
      <c r="AD834" s="26"/>
    </row>
    <row r="835">
      <c r="H835" s="5"/>
      <c r="O835" s="5"/>
      <c r="V835" s="5"/>
      <c r="X835" s="29"/>
      <c r="Y835" s="26"/>
      <c r="Z835" s="26"/>
      <c r="AA835" s="26"/>
      <c r="AB835" s="26"/>
      <c r="AC835" s="26"/>
      <c r="AD835" s="26"/>
    </row>
    <row r="836">
      <c r="H836" s="5"/>
      <c r="O836" s="5"/>
      <c r="V836" s="5"/>
      <c r="X836" s="28"/>
      <c r="Y836" s="26"/>
      <c r="Z836" s="26"/>
      <c r="AA836" s="26"/>
      <c r="AB836" s="26"/>
      <c r="AC836" s="26"/>
      <c r="AD836" s="26"/>
    </row>
    <row r="837">
      <c r="H837" s="5"/>
      <c r="O837" s="5"/>
      <c r="V837" s="5"/>
      <c r="X837" s="29"/>
      <c r="Y837" s="26"/>
      <c r="Z837" s="26"/>
      <c r="AA837" s="26"/>
      <c r="AB837" s="26"/>
      <c r="AC837" s="26"/>
      <c r="AD837" s="26"/>
    </row>
    <row r="838">
      <c r="H838" s="5"/>
      <c r="O838" s="5"/>
      <c r="V838" s="5"/>
      <c r="X838" s="28"/>
      <c r="Y838" s="26"/>
      <c r="Z838" s="26"/>
      <c r="AA838" s="26"/>
      <c r="AB838" s="26"/>
      <c r="AC838" s="26"/>
      <c r="AD838" s="26"/>
    </row>
    <row r="839">
      <c r="H839" s="5"/>
      <c r="O839" s="5"/>
      <c r="V839" s="5"/>
      <c r="X839" s="29"/>
      <c r="Y839" s="26"/>
      <c r="Z839" s="26"/>
      <c r="AA839" s="26"/>
      <c r="AB839" s="26"/>
      <c r="AC839" s="26"/>
      <c r="AD839" s="26"/>
    </row>
    <row r="840">
      <c r="H840" s="5"/>
      <c r="O840" s="5"/>
      <c r="V840" s="5"/>
      <c r="X840" s="28"/>
      <c r="Y840" s="26"/>
      <c r="Z840" s="26"/>
      <c r="AA840" s="26"/>
      <c r="AB840" s="26"/>
      <c r="AC840" s="26"/>
      <c r="AD840" s="26"/>
    </row>
    <row r="841">
      <c r="H841" s="5"/>
      <c r="O841" s="5"/>
      <c r="V841" s="5"/>
      <c r="X841" s="29"/>
      <c r="Y841" s="26"/>
      <c r="Z841" s="26"/>
      <c r="AA841" s="26"/>
      <c r="AB841" s="26"/>
      <c r="AC841" s="26"/>
      <c r="AD841" s="26"/>
    </row>
    <row r="842">
      <c r="H842" s="5"/>
      <c r="O842" s="5"/>
      <c r="V842" s="5"/>
      <c r="X842" s="28"/>
      <c r="Y842" s="26"/>
      <c r="Z842" s="26"/>
      <c r="AA842" s="26"/>
      <c r="AB842" s="26"/>
      <c r="AC842" s="26"/>
      <c r="AD842" s="26"/>
    </row>
    <row r="843">
      <c r="H843" s="5"/>
      <c r="O843" s="5"/>
      <c r="V843" s="5"/>
      <c r="X843" s="29"/>
      <c r="Y843" s="26"/>
      <c r="Z843" s="26"/>
      <c r="AA843" s="26"/>
      <c r="AB843" s="26"/>
      <c r="AC843" s="26"/>
      <c r="AD843" s="26"/>
    </row>
    <row r="844">
      <c r="H844" s="5"/>
      <c r="O844" s="5"/>
      <c r="V844" s="5"/>
      <c r="X844" s="28"/>
      <c r="Y844" s="26"/>
      <c r="Z844" s="26"/>
      <c r="AA844" s="26"/>
      <c r="AB844" s="26"/>
      <c r="AC844" s="26"/>
      <c r="AD844" s="26"/>
    </row>
    <row r="845">
      <c r="H845" s="5"/>
      <c r="O845" s="5"/>
      <c r="V845" s="5"/>
      <c r="X845" s="29"/>
      <c r="Y845" s="26"/>
      <c r="Z845" s="26"/>
      <c r="AA845" s="26"/>
      <c r="AB845" s="26"/>
      <c r="AC845" s="26"/>
      <c r="AD845" s="26"/>
    </row>
    <row r="846">
      <c r="H846" s="5"/>
      <c r="O846" s="5"/>
      <c r="V846" s="5"/>
      <c r="X846" s="28"/>
      <c r="Y846" s="26"/>
      <c r="Z846" s="26"/>
      <c r="AA846" s="26"/>
      <c r="AB846" s="26"/>
      <c r="AC846" s="26"/>
      <c r="AD846" s="26"/>
    </row>
    <row r="847">
      <c r="H847" s="5"/>
      <c r="O847" s="5"/>
      <c r="V847" s="5"/>
      <c r="X847" s="29"/>
      <c r="Y847" s="26"/>
      <c r="Z847" s="26"/>
      <c r="AA847" s="26"/>
      <c r="AB847" s="26"/>
      <c r="AC847" s="26"/>
      <c r="AD847" s="26"/>
    </row>
    <row r="848">
      <c r="H848" s="5"/>
      <c r="O848" s="5"/>
      <c r="V848" s="5"/>
      <c r="X848" s="28"/>
      <c r="Y848" s="26"/>
      <c r="Z848" s="26"/>
      <c r="AA848" s="26"/>
      <c r="AB848" s="26"/>
      <c r="AC848" s="26"/>
      <c r="AD848" s="26"/>
    </row>
    <row r="849">
      <c r="H849" s="5"/>
      <c r="O849" s="5"/>
      <c r="V849" s="5"/>
      <c r="X849" s="29"/>
      <c r="Y849" s="26"/>
      <c r="Z849" s="26"/>
      <c r="AA849" s="26"/>
      <c r="AB849" s="26"/>
      <c r="AC849" s="26"/>
      <c r="AD849" s="26"/>
    </row>
    <row r="850">
      <c r="H850" s="5"/>
      <c r="O850" s="5"/>
      <c r="V850" s="5"/>
      <c r="X850" s="28"/>
      <c r="Y850" s="26"/>
      <c r="Z850" s="26"/>
      <c r="AA850" s="26"/>
      <c r="AB850" s="26"/>
      <c r="AC850" s="26"/>
      <c r="AD850" s="26"/>
    </row>
    <row r="851">
      <c r="H851" s="5"/>
      <c r="O851" s="5"/>
      <c r="V851" s="5"/>
      <c r="X851" s="29"/>
      <c r="Y851" s="26"/>
      <c r="Z851" s="26"/>
      <c r="AA851" s="26"/>
      <c r="AB851" s="26"/>
      <c r="AC851" s="26"/>
      <c r="AD851" s="26"/>
    </row>
    <row r="852">
      <c r="H852" s="5"/>
      <c r="O852" s="5"/>
      <c r="V852" s="5"/>
      <c r="X852" s="28"/>
      <c r="Y852" s="26"/>
      <c r="Z852" s="26"/>
      <c r="AA852" s="26"/>
      <c r="AB852" s="26"/>
      <c r="AC852" s="26"/>
      <c r="AD852" s="26"/>
    </row>
    <row r="853">
      <c r="H853" s="5"/>
      <c r="O853" s="5"/>
      <c r="V853" s="5"/>
      <c r="X853" s="29"/>
      <c r="Y853" s="26"/>
      <c r="Z853" s="26"/>
      <c r="AA853" s="26"/>
      <c r="AB853" s="26"/>
      <c r="AC853" s="26"/>
      <c r="AD853" s="26"/>
    </row>
    <row r="854">
      <c r="H854" s="5"/>
      <c r="O854" s="5"/>
      <c r="V854" s="5"/>
      <c r="X854" s="28"/>
      <c r="Y854" s="26"/>
      <c r="Z854" s="26"/>
      <c r="AA854" s="26"/>
      <c r="AB854" s="26"/>
      <c r="AC854" s="26"/>
      <c r="AD854" s="26"/>
    </row>
    <row r="855">
      <c r="H855" s="5"/>
      <c r="O855" s="5"/>
      <c r="V855" s="5"/>
      <c r="X855" s="29"/>
      <c r="Y855" s="26"/>
      <c r="Z855" s="26"/>
      <c r="AA855" s="26"/>
      <c r="AB855" s="26"/>
      <c r="AC855" s="26"/>
      <c r="AD855" s="26"/>
    </row>
    <row r="856">
      <c r="H856" s="5"/>
      <c r="O856" s="5"/>
      <c r="V856" s="5"/>
      <c r="X856" s="28"/>
      <c r="Y856" s="26"/>
      <c r="Z856" s="26"/>
      <c r="AA856" s="26"/>
      <c r="AB856" s="26"/>
      <c r="AC856" s="26"/>
      <c r="AD856" s="26"/>
    </row>
    <row r="857">
      <c r="H857" s="5"/>
      <c r="O857" s="5"/>
      <c r="V857" s="5"/>
      <c r="X857" s="29"/>
      <c r="Y857" s="26"/>
      <c r="Z857" s="26"/>
      <c r="AA857" s="26"/>
      <c r="AB857" s="26"/>
      <c r="AC857" s="26"/>
      <c r="AD857" s="26"/>
    </row>
    <row r="858">
      <c r="H858" s="5"/>
      <c r="O858" s="5"/>
      <c r="V858" s="5"/>
      <c r="X858" s="28"/>
      <c r="Y858" s="26"/>
      <c r="Z858" s="26"/>
      <c r="AA858" s="26"/>
      <c r="AB858" s="26"/>
      <c r="AC858" s="26"/>
      <c r="AD858" s="26"/>
    </row>
    <row r="859">
      <c r="H859" s="5"/>
      <c r="O859" s="5"/>
      <c r="V859" s="5"/>
      <c r="X859" s="29"/>
      <c r="Y859" s="26"/>
      <c r="Z859" s="26"/>
      <c r="AA859" s="26"/>
      <c r="AB859" s="26"/>
      <c r="AC859" s="26"/>
      <c r="AD859" s="26"/>
    </row>
    <row r="860">
      <c r="H860" s="5"/>
      <c r="O860" s="5"/>
      <c r="V860" s="5"/>
      <c r="X860" s="28"/>
      <c r="Y860" s="26"/>
      <c r="Z860" s="26"/>
      <c r="AA860" s="26"/>
      <c r="AB860" s="26"/>
      <c r="AC860" s="26"/>
      <c r="AD860" s="26"/>
    </row>
    <row r="861">
      <c r="H861" s="5"/>
      <c r="O861" s="5"/>
      <c r="V861" s="5"/>
      <c r="X861" s="29"/>
      <c r="Y861" s="26"/>
      <c r="Z861" s="26"/>
      <c r="AA861" s="26"/>
      <c r="AB861" s="26"/>
      <c r="AC861" s="26"/>
      <c r="AD861" s="26"/>
    </row>
    <row r="862">
      <c r="H862" s="5"/>
      <c r="O862" s="5"/>
      <c r="V862" s="5"/>
      <c r="X862" s="28"/>
      <c r="Y862" s="26"/>
      <c r="Z862" s="26"/>
      <c r="AA862" s="26"/>
      <c r="AB862" s="26"/>
      <c r="AC862" s="26"/>
      <c r="AD862" s="26"/>
    </row>
    <row r="863">
      <c r="H863" s="5"/>
      <c r="O863" s="5"/>
      <c r="V863" s="5"/>
      <c r="X863" s="29"/>
      <c r="Y863" s="26"/>
      <c r="Z863" s="26"/>
      <c r="AA863" s="26"/>
      <c r="AB863" s="26"/>
      <c r="AC863" s="26"/>
      <c r="AD863" s="26"/>
    </row>
    <row r="864">
      <c r="H864" s="5"/>
      <c r="O864" s="5"/>
      <c r="V864" s="5"/>
      <c r="X864" s="28"/>
      <c r="Y864" s="26"/>
      <c r="Z864" s="26"/>
      <c r="AA864" s="26"/>
      <c r="AB864" s="26"/>
      <c r="AC864" s="26"/>
      <c r="AD864" s="26"/>
    </row>
    <row r="865">
      <c r="H865" s="5"/>
      <c r="O865" s="5"/>
      <c r="V865" s="5"/>
      <c r="X865" s="29"/>
      <c r="Y865" s="26"/>
      <c r="Z865" s="26"/>
      <c r="AA865" s="26"/>
      <c r="AB865" s="26"/>
      <c r="AC865" s="26"/>
      <c r="AD865" s="26"/>
    </row>
    <row r="866">
      <c r="H866" s="5"/>
      <c r="O866" s="5"/>
      <c r="V866" s="5"/>
      <c r="X866" s="28"/>
      <c r="Y866" s="26"/>
      <c r="Z866" s="26"/>
      <c r="AA866" s="26"/>
      <c r="AB866" s="26"/>
      <c r="AC866" s="26"/>
      <c r="AD866" s="26"/>
    </row>
    <row r="867">
      <c r="H867" s="5"/>
      <c r="O867" s="5"/>
      <c r="V867" s="5"/>
      <c r="X867" s="29"/>
      <c r="Y867" s="26"/>
      <c r="Z867" s="26"/>
      <c r="AA867" s="26"/>
      <c r="AB867" s="26"/>
      <c r="AC867" s="26"/>
      <c r="AD867" s="26"/>
    </row>
    <row r="868">
      <c r="H868" s="5"/>
      <c r="O868" s="5"/>
      <c r="V868" s="5"/>
      <c r="X868" s="28"/>
      <c r="Y868" s="26"/>
      <c r="Z868" s="26"/>
      <c r="AA868" s="26"/>
      <c r="AB868" s="26"/>
      <c r="AC868" s="26"/>
      <c r="AD868" s="26"/>
    </row>
    <row r="869">
      <c r="H869" s="5"/>
      <c r="O869" s="5"/>
      <c r="V869" s="5"/>
      <c r="X869" s="29"/>
      <c r="Y869" s="26"/>
      <c r="Z869" s="26"/>
      <c r="AA869" s="26"/>
      <c r="AB869" s="26"/>
      <c r="AC869" s="26"/>
      <c r="AD869" s="26"/>
    </row>
    <row r="870">
      <c r="H870" s="5"/>
      <c r="O870" s="5"/>
      <c r="V870" s="5"/>
      <c r="X870" s="28"/>
      <c r="Y870" s="26"/>
      <c r="Z870" s="26"/>
      <c r="AA870" s="26"/>
      <c r="AB870" s="26"/>
      <c r="AC870" s="26"/>
      <c r="AD870" s="26"/>
    </row>
    <row r="871">
      <c r="H871" s="5"/>
      <c r="O871" s="5"/>
      <c r="V871" s="5"/>
      <c r="X871" s="29"/>
      <c r="Y871" s="26"/>
      <c r="Z871" s="26"/>
      <c r="AA871" s="26"/>
      <c r="AB871" s="26"/>
      <c r="AC871" s="26"/>
      <c r="AD871" s="26"/>
    </row>
    <row r="872">
      <c r="H872" s="5"/>
      <c r="O872" s="5"/>
      <c r="V872" s="5"/>
      <c r="X872" s="28"/>
      <c r="Y872" s="26"/>
      <c r="Z872" s="26"/>
      <c r="AA872" s="26"/>
      <c r="AB872" s="26"/>
      <c r="AC872" s="26"/>
      <c r="AD872" s="26"/>
    </row>
    <row r="873">
      <c r="H873" s="5"/>
      <c r="O873" s="5"/>
      <c r="V873" s="5"/>
      <c r="X873" s="29"/>
      <c r="Y873" s="26"/>
      <c r="Z873" s="26"/>
      <c r="AA873" s="26"/>
      <c r="AB873" s="26"/>
      <c r="AC873" s="26"/>
      <c r="AD873" s="26"/>
    </row>
    <row r="874">
      <c r="H874" s="5"/>
      <c r="O874" s="5"/>
      <c r="V874" s="5"/>
      <c r="X874" s="28"/>
      <c r="Y874" s="26"/>
      <c r="Z874" s="26"/>
      <c r="AA874" s="26"/>
      <c r="AB874" s="26"/>
      <c r="AC874" s="26"/>
      <c r="AD874" s="26"/>
    </row>
    <row r="875">
      <c r="H875" s="5"/>
      <c r="O875" s="5"/>
      <c r="V875" s="5"/>
      <c r="X875" s="29"/>
      <c r="Y875" s="26"/>
      <c r="Z875" s="26"/>
      <c r="AA875" s="26"/>
      <c r="AB875" s="26"/>
      <c r="AC875" s="26"/>
      <c r="AD875" s="26"/>
    </row>
    <row r="876">
      <c r="H876" s="5"/>
      <c r="O876" s="5"/>
      <c r="V876" s="5"/>
      <c r="X876" s="28"/>
      <c r="Y876" s="26"/>
      <c r="Z876" s="26"/>
      <c r="AA876" s="26"/>
      <c r="AB876" s="26"/>
      <c r="AC876" s="26"/>
      <c r="AD876" s="26"/>
    </row>
    <row r="877">
      <c r="H877" s="5"/>
      <c r="O877" s="5"/>
      <c r="V877" s="5"/>
      <c r="X877" s="29"/>
      <c r="Y877" s="26"/>
      <c r="Z877" s="26"/>
      <c r="AA877" s="26"/>
      <c r="AB877" s="26"/>
      <c r="AC877" s="26"/>
      <c r="AD877" s="26"/>
    </row>
    <row r="878">
      <c r="H878" s="5"/>
      <c r="O878" s="5"/>
      <c r="V878" s="5"/>
      <c r="X878" s="28"/>
      <c r="Y878" s="26"/>
      <c r="Z878" s="26"/>
      <c r="AA878" s="26"/>
      <c r="AB878" s="26"/>
      <c r="AC878" s="26"/>
      <c r="AD878" s="26"/>
    </row>
    <row r="879">
      <c r="H879" s="5"/>
      <c r="O879" s="5"/>
      <c r="V879" s="5"/>
      <c r="X879" s="29"/>
      <c r="Y879" s="26"/>
      <c r="Z879" s="26"/>
      <c r="AA879" s="26"/>
      <c r="AB879" s="26"/>
      <c r="AC879" s="26"/>
      <c r="AD879" s="26"/>
    </row>
    <row r="880">
      <c r="H880" s="5"/>
      <c r="O880" s="5"/>
      <c r="V880" s="5"/>
      <c r="X880" s="28"/>
      <c r="Y880" s="26"/>
      <c r="Z880" s="26"/>
      <c r="AA880" s="26"/>
      <c r="AB880" s="26"/>
      <c r="AC880" s="26"/>
      <c r="AD880" s="26"/>
    </row>
    <row r="881">
      <c r="H881" s="5"/>
      <c r="O881" s="5"/>
      <c r="V881" s="5"/>
      <c r="X881" s="29"/>
      <c r="Y881" s="26"/>
      <c r="Z881" s="26"/>
      <c r="AA881" s="26"/>
      <c r="AB881" s="26"/>
      <c r="AC881" s="26"/>
      <c r="AD881" s="26"/>
    </row>
    <row r="882">
      <c r="H882" s="5"/>
      <c r="O882" s="5"/>
      <c r="V882" s="5"/>
      <c r="X882" s="28"/>
      <c r="Y882" s="26"/>
      <c r="Z882" s="26"/>
      <c r="AA882" s="26"/>
      <c r="AB882" s="26"/>
      <c r="AC882" s="26"/>
      <c r="AD882" s="26"/>
    </row>
    <row r="883">
      <c r="H883" s="5"/>
      <c r="O883" s="5"/>
      <c r="V883" s="5"/>
      <c r="X883" s="29"/>
      <c r="Y883" s="26"/>
      <c r="Z883" s="26"/>
      <c r="AA883" s="26"/>
      <c r="AB883" s="26"/>
      <c r="AC883" s="26"/>
      <c r="AD883" s="26"/>
    </row>
    <row r="884">
      <c r="H884" s="5"/>
      <c r="O884" s="5"/>
      <c r="V884" s="5"/>
      <c r="X884" s="28"/>
      <c r="Y884" s="26"/>
      <c r="Z884" s="26"/>
      <c r="AA884" s="26"/>
      <c r="AB884" s="26"/>
      <c r="AC884" s="26"/>
      <c r="AD884" s="26"/>
    </row>
    <row r="885">
      <c r="H885" s="5"/>
      <c r="O885" s="5"/>
      <c r="V885" s="5"/>
      <c r="X885" s="29"/>
      <c r="Y885" s="26"/>
      <c r="Z885" s="26"/>
      <c r="AA885" s="26"/>
      <c r="AB885" s="26"/>
      <c r="AC885" s="26"/>
      <c r="AD885" s="26"/>
    </row>
    <row r="886">
      <c r="H886" s="5"/>
      <c r="O886" s="5"/>
      <c r="V886" s="5"/>
      <c r="X886" s="28"/>
      <c r="Y886" s="26"/>
      <c r="Z886" s="26"/>
      <c r="AA886" s="26"/>
      <c r="AB886" s="26"/>
      <c r="AC886" s="26"/>
      <c r="AD886" s="26"/>
    </row>
    <row r="887">
      <c r="H887" s="5"/>
      <c r="O887" s="5"/>
      <c r="V887" s="5"/>
      <c r="X887" s="29"/>
      <c r="Y887" s="26"/>
      <c r="Z887" s="26"/>
      <c r="AA887" s="26"/>
      <c r="AB887" s="26"/>
      <c r="AC887" s="26"/>
      <c r="AD887" s="26"/>
    </row>
    <row r="888">
      <c r="H888" s="5"/>
      <c r="O888" s="5"/>
      <c r="V888" s="5"/>
      <c r="X888" s="28"/>
      <c r="Y888" s="26"/>
      <c r="Z888" s="26"/>
      <c r="AA888" s="26"/>
      <c r="AB888" s="26"/>
      <c r="AC888" s="26"/>
      <c r="AD888" s="26"/>
    </row>
    <row r="889">
      <c r="H889" s="5"/>
      <c r="O889" s="5"/>
      <c r="V889" s="5"/>
      <c r="X889" s="29"/>
      <c r="Y889" s="26"/>
      <c r="Z889" s="26"/>
      <c r="AA889" s="26"/>
      <c r="AB889" s="26"/>
      <c r="AC889" s="26"/>
      <c r="AD889" s="26"/>
    </row>
    <row r="890">
      <c r="H890" s="5"/>
      <c r="O890" s="5"/>
      <c r="V890" s="5"/>
      <c r="X890" s="28"/>
      <c r="Y890" s="26"/>
      <c r="Z890" s="26"/>
      <c r="AA890" s="26"/>
      <c r="AB890" s="26"/>
      <c r="AC890" s="26"/>
      <c r="AD890" s="26"/>
    </row>
    <row r="891">
      <c r="H891" s="5"/>
      <c r="O891" s="5"/>
      <c r="V891" s="5"/>
      <c r="X891" s="29"/>
      <c r="Y891" s="26"/>
      <c r="Z891" s="26"/>
      <c r="AA891" s="26"/>
      <c r="AB891" s="26"/>
      <c r="AC891" s="26"/>
      <c r="AD891" s="26"/>
    </row>
    <row r="892">
      <c r="H892" s="5"/>
      <c r="O892" s="5"/>
      <c r="V892" s="5"/>
      <c r="X892" s="28"/>
      <c r="Y892" s="26"/>
      <c r="Z892" s="26"/>
      <c r="AA892" s="26"/>
      <c r="AB892" s="26"/>
      <c r="AC892" s="26"/>
      <c r="AD892" s="26"/>
    </row>
    <row r="893">
      <c r="H893" s="5"/>
      <c r="O893" s="5"/>
      <c r="V893" s="5"/>
      <c r="X893" s="29"/>
      <c r="Y893" s="26"/>
      <c r="Z893" s="26"/>
      <c r="AA893" s="26"/>
      <c r="AB893" s="26"/>
      <c r="AC893" s="26"/>
      <c r="AD893" s="26"/>
    </row>
    <row r="894">
      <c r="H894" s="5"/>
      <c r="O894" s="5"/>
      <c r="V894" s="5"/>
      <c r="X894" s="28"/>
      <c r="Y894" s="26"/>
      <c r="Z894" s="26"/>
      <c r="AA894" s="26"/>
      <c r="AB894" s="26"/>
      <c r="AC894" s="26"/>
      <c r="AD894" s="26"/>
    </row>
    <row r="895">
      <c r="H895" s="5"/>
      <c r="O895" s="5"/>
      <c r="V895" s="5"/>
      <c r="X895" s="29"/>
      <c r="Y895" s="26"/>
      <c r="Z895" s="26"/>
      <c r="AA895" s="26"/>
      <c r="AB895" s="26"/>
      <c r="AC895" s="26"/>
      <c r="AD895" s="26"/>
    </row>
    <row r="896">
      <c r="H896" s="5"/>
      <c r="O896" s="5"/>
      <c r="V896" s="5"/>
      <c r="X896" s="28"/>
      <c r="Y896" s="26"/>
      <c r="Z896" s="26"/>
      <c r="AA896" s="26"/>
      <c r="AB896" s="26"/>
      <c r="AC896" s="26"/>
      <c r="AD896" s="26"/>
    </row>
    <row r="897">
      <c r="H897" s="5"/>
      <c r="O897" s="5"/>
      <c r="V897" s="5"/>
      <c r="X897" s="29"/>
      <c r="Y897" s="26"/>
      <c r="Z897" s="26"/>
      <c r="AA897" s="26"/>
      <c r="AB897" s="26"/>
      <c r="AC897" s="26"/>
      <c r="AD897" s="26"/>
    </row>
    <row r="898">
      <c r="H898" s="5"/>
      <c r="O898" s="5"/>
      <c r="V898" s="5"/>
      <c r="X898" s="28"/>
      <c r="Y898" s="26"/>
      <c r="Z898" s="26"/>
      <c r="AA898" s="26"/>
      <c r="AB898" s="26"/>
      <c r="AC898" s="26"/>
      <c r="AD898" s="26"/>
    </row>
    <row r="899">
      <c r="H899" s="5"/>
      <c r="O899" s="5"/>
      <c r="V899" s="5"/>
      <c r="X899" s="29"/>
      <c r="Y899" s="26"/>
      <c r="Z899" s="26"/>
      <c r="AA899" s="26"/>
      <c r="AB899" s="26"/>
      <c r="AC899" s="26"/>
      <c r="AD899" s="26"/>
    </row>
    <row r="900">
      <c r="H900" s="5"/>
      <c r="O900" s="5"/>
      <c r="V900" s="5"/>
      <c r="X900" s="28"/>
      <c r="Y900" s="26"/>
      <c r="Z900" s="26"/>
      <c r="AA900" s="26"/>
      <c r="AB900" s="26"/>
      <c r="AC900" s="26"/>
      <c r="AD900" s="26"/>
    </row>
    <row r="901">
      <c r="H901" s="5"/>
      <c r="O901" s="5"/>
      <c r="V901" s="5"/>
      <c r="X901" s="29"/>
      <c r="Y901" s="26"/>
      <c r="Z901" s="26"/>
      <c r="AA901" s="26"/>
      <c r="AB901" s="26"/>
      <c r="AC901" s="26"/>
      <c r="AD901" s="26"/>
    </row>
    <row r="902">
      <c r="H902" s="5"/>
      <c r="O902" s="5"/>
      <c r="V902" s="5"/>
      <c r="X902" s="28"/>
      <c r="Y902" s="26"/>
      <c r="Z902" s="26"/>
      <c r="AA902" s="26"/>
      <c r="AB902" s="26"/>
      <c r="AC902" s="26"/>
      <c r="AD902" s="26"/>
    </row>
    <row r="903">
      <c r="H903" s="5"/>
      <c r="O903" s="5"/>
      <c r="V903" s="5"/>
      <c r="X903" s="29"/>
      <c r="Y903" s="26"/>
      <c r="Z903" s="26"/>
      <c r="AA903" s="26"/>
      <c r="AB903" s="26"/>
      <c r="AC903" s="26"/>
      <c r="AD903" s="26"/>
    </row>
    <row r="904">
      <c r="H904" s="5"/>
      <c r="O904" s="5"/>
      <c r="V904" s="5"/>
      <c r="X904" s="28"/>
      <c r="Y904" s="26"/>
      <c r="Z904" s="26"/>
      <c r="AA904" s="26"/>
      <c r="AB904" s="26"/>
      <c r="AC904" s="26"/>
      <c r="AD904" s="26"/>
    </row>
    <row r="905">
      <c r="H905" s="5"/>
      <c r="O905" s="5"/>
      <c r="V905" s="5"/>
      <c r="X905" s="29"/>
      <c r="Y905" s="26"/>
      <c r="Z905" s="26"/>
      <c r="AA905" s="26"/>
      <c r="AB905" s="26"/>
      <c r="AC905" s="26"/>
      <c r="AD905" s="26"/>
    </row>
    <row r="906">
      <c r="H906" s="5"/>
      <c r="O906" s="5"/>
      <c r="V906" s="5"/>
      <c r="X906" s="28"/>
      <c r="Y906" s="26"/>
      <c r="Z906" s="26"/>
      <c r="AA906" s="26"/>
      <c r="AB906" s="26"/>
      <c r="AC906" s="26"/>
      <c r="AD906" s="26"/>
    </row>
    <row r="907">
      <c r="H907" s="5"/>
      <c r="O907" s="5"/>
      <c r="V907" s="5"/>
      <c r="X907" s="29"/>
      <c r="Y907" s="26"/>
      <c r="Z907" s="26"/>
      <c r="AA907" s="26"/>
      <c r="AB907" s="26"/>
      <c r="AC907" s="26"/>
      <c r="AD907" s="26"/>
    </row>
    <row r="908">
      <c r="H908" s="5"/>
      <c r="O908" s="5"/>
      <c r="V908" s="5"/>
      <c r="X908" s="28"/>
      <c r="Y908" s="26"/>
      <c r="Z908" s="26"/>
      <c r="AA908" s="26"/>
      <c r="AB908" s="26"/>
      <c r="AC908" s="26"/>
      <c r="AD908" s="26"/>
    </row>
    <row r="909">
      <c r="H909" s="5"/>
      <c r="O909" s="5"/>
      <c r="V909" s="5"/>
      <c r="X909" s="29"/>
      <c r="Y909" s="26"/>
      <c r="Z909" s="26"/>
      <c r="AA909" s="26"/>
      <c r="AB909" s="26"/>
      <c r="AC909" s="26"/>
      <c r="AD909" s="26"/>
    </row>
    <row r="910">
      <c r="H910" s="5"/>
      <c r="O910" s="5"/>
      <c r="V910" s="5"/>
      <c r="X910" s="28"/>
      <c r="Y910" s="26"/>
      <c r="Z910" s="26"/>
      <c r="AA910" s="26"/>
      <c r="AB910" s="26"/>
      <c r="AC910" s="26"/>
      <c r="AD910" s="26"/>
    </row>
    <row r="911">
      <c r="H911" s="5"/>
      <c r="O911" s="5"/>
      <c r="V911" s="5"/>
      <c r="X911" s="29"/>
      <c r="Y911" s="26"/>
      <c r="Z911" s="26"/>
      <c r="AA911" s="26"/>
      <c r="AB911" s="26"/>
      <c r="AC911" s="26"/>
      <c r="AD911" s="26"/>
    </row>
    <row r="912">
      <c r="H912" s="5"/>
      <c r="O912" s="5"/>
      <c r="V912" s="5"/>
      <c r="X912" s="28"/>
      <c r="Y912" s="26"/>
      <c r="Z912" s="26"/>
      <c r="AA912" s="26"/>
      <c r="AB912" s="26"/>
      <c r="AC912" s="26"/>
      <c r="AD912" s="26"/>
    </row>
    <row r="913">
      <c r="H913" s="5"/>
      <c r="O913" s="5"/>
      <c r="V913" s="5"/>
      <c r="X913" s="29"/>
      <c r="Y913" s="26"/>
      <c r="Z913" s="26"/>
      <c r="AA913" s="26"/>
      <c r="AB913" s="26"/>
      <c r="AC913" s="26"/>
      <c r="AD913" s="26"/>
    </row>
    <row r="914">
      <c r="H914" s="5"/>
      <c r="O914" s="5"/>
      <c r="V914" s="5"/>
      <c r="X914" s="28"/>
      <c r="Y914" s="26"/>
      <c r="Z914" s="26"/>
      <c r="AA914" s="26"/>
      <c r="AB914" s="26"/>
      <c r="AC914" s="26"/>
      <c r="AD914" s="26"/>
    </row>
    <row r="915">
      <c r="H915" s="5"/>
      <c r="O915" s="5"/>
      <c r="V915" s="5"/>
      <c r="X915" s="29"/>
      <c r="Y915" s="26"/>
      <c r="Z915" s="26"/>
      <c r="AA915" s="26"/>
      <c r="AB915" s="26"/>
      <c r="AC915" s="26"/>
      <c r="AD915" s="26"/>
    </row>
    <row r="916">
      <c r="H916" s="5"/>
      <c r="O916" s="5"/>
      <c r="V916" s="5"/>
      <c r="X916" s="28"/>
      <c r="Y916" s="26"/>
      <c r="Z916" s="26"/>
      <c r="AA916" s="26"/>
      <c r="AB916" s="26"/>
      <c r="AC916" s="26"/>
      <c r="AD916" s="26"/>
    </row>
    <row r="917">
      <c r="H917" s="5"/>
      <c r="O917" s="5"/>
      <c r="V917" s="5"/>
      <c r="X917" s="29"/>
      <c r="Y917" s="26"/>
      <c r="Z917" s="26"/>
      <c r="AA917" s="26"/>
      <c r="AB917" s="26"/>
      <c r="AC917" s="26"/>
      <c r="AD917" s="26"/>
    </row>
    <row r="918">
      <c r="H918" s="5"/>
      <c r="O918" s="5"/>
      <c r="V918" s="5"/>
      <c r="X918" s="28"/>
      <c r="Y918" s="26"/>
      <c r="Z918" s="26"/>
      <c r="AA918" s="26"/>
      <c r="AB918" s="26"/>
      <c r="AC918" s="26"/>
      <c r="AD918" s="26"/>
    </row>
    <row r="919">
      <c r="H919" s="5"/>
      <c r="O919" s="5"/>
      <c r="V919" s="5"/>
      <c r="X919" s="29"/>
      <c r="Y919" s="26"/>
      <c r="Z919" s="26"/>
      <c r="AA919" s="26"/>
      <c r="AB919" s="26"/>
      <c r="AC919" s="26"/>
      <c r="AD919" s="26"/>
    </row>
    <row r="920">
      <c r="H920" s="5"/>
      <c r="O920" s="5"/>
      <c r="V920" s="5"/>
      <c r="X920" s="28"/>
      <c r="Y920" s="26"/>
      <c r="Z920" s="26"/>
      <c r="AA920" s="26"/>
      <c r="AB920" s="26"/>
      <c r="AC920" s="26"/>
      <c r="AD920" s="26"/>
    </row>
    <row r="921">
      <c r="H921" s="5"/>
      <c r="O921" s="5"/>
      <c r="V921" s="5"/>
      <c r="X921" s="29"/>
      <c r="Y921" s="26"/>
      <c r="Z921" s="26"/>
      <c r="AA921" s="26"/>
      <c r="AB921" s="26"/>
      <c r="AC921" s="26"/>
      <c r="AD921" s="26"/>
    </row>
    <row r="922">
      <c r="H922" s="5"/>
      <c r="O922" s="5"/>
      <c r="V922" s="5"/>
      <c r="X922" s="28"/>
      <c r="Y922" s="26"/>
      <c r="Z922" s="26"/>
      <c r="AA922" s="26"/>
      <c r="AB922" s="26"/>
      <c r="AC922" s="26"/>
      <c r="AD922" s="26"/>
    </row>
    <row r="923">
      <c r="H923" s="5"/>
      <c r="O923" s="5"/>
      <c r="V923" s="5"/>
      <c r="X923" s="29"/>
      <c r="Y923" s="26"/>
      <c r="Z923" s="26"/>
      <c r="AA923" s="26"/>
      <c r="AB923" s="26"/>
      <c r="AC923" s="26"/>
      <c r="AD923" s="26"/>
    </row>
    <row r="924">
      <c r="H924" s="5"/>
      <c r="O924" s="5"/>
      <c r="V924" s="5"/>
      <c r="X924" s="28"/>
      <c r="Y924" s="26"/>
      <c r="Z924" s="26"/>
      <c r="AA924" s="26"/>
      <c r="AB924" s="26"/>
      <c r="AC924" s="26"/>
      <c r="AD924" s="26"/>
    </row>
    <row r="925">
      <c r="H925" s="5"/>
      <c r="O925" s="5"/>
      <c r="V925" s="5"/>
      <c r="X925" s="29"/>
      <c r="Y925" s="26"/>
      <c r="Z925" s="26"/>
      <c r="AA925" s="26"/>
      <c r="AB925" s="26"/>
      <c r="AC925" s="26"/>
      <c r="AD925" s="26"/>
    </row>
    <row r="926">
      <c r="H926" s="5"/>
      <c r="O926" s="5"/>
      <c r="V926" s="5"/>
      <c r="X926" s="28"/>
      <c r="Y926" s="26"/>
      <c r="Z926" s="26"/>
      <c r="AA926" s="26"/>
      <c r="AB926" s="26"/>
      <c r="AC926" s="26"/>
      <c r="AD926" s="26"/>
    </row>
    <row r="927">
      <c r="H927" s="5"/>
      <c r="O927" s="5"/>
      <c r="V927" s="5"/>
      <c r="X927" s="29"/>
      <c r="Y927" s="26"/>
      <c r="Z927" s="26"/>
      <c r="AA927" s="26"/>
      <c r="AB927" s="26"/>
      <c r="AC927" s="26"/>
      <c r="AD927" s="26"/>
    </row>
    <row r="928">
      <c r="H928" s="5"/>
      <c r="O928" s="5"/>
      <c r="V928" s="5"/>
      <c r="X928" s="28"/>
      <c r="Y928" s="26"/>
      <c r="Z928" s="26"/>
      <c r="AA928" s="26"/>
      <c r="AB928" s="26"/>
      <c r="AC928" s="26"/>
      <c r="AD928" s="26"/>
    </row>
    <row r="929">
      <c r="H929" s="5"/>
      <c r="O929" s="5"/>
      <c r="V929" s="5"/>
      <c r="X929" s="29"/>
      <c r="Y929" s="26"/>
      <c r="Z929" s="26"/>
      <c r="AA929" s="26"/>
      <c r="AB929" s="26"/>
      <c r="AC929" s="26"/>
      <c r="AD929" s="26"/>
    </row>
    <row r="930">
      <c r="H930" s="5"/>
      <c r="O930" s="5"/>
      <c r="V930" s="5"/>
      <c r="X930" s="28"/>
      <c r="Y930" s="26"/>
      <c r="Z930" s="26"/>
      <c r="AA930" s="26"/>
      <c r="AB930" s="26"/>
      <c r="AC930" s="26"/>
      <c r="AD930" s="26"/>
    </row>
    <row r="931">
      <c r="H931" s="5"/>
      <c r="O931" s="5"/>
      <c r="V931" s="5"/>
      <c r="X931" s="29"/>
      <c r="Y931" s="26"/>
      <c r="Z931" s="26"/>
      <c r="AA931" s="26"/>
      <c r="AB931" s="26"/>
      <c r="AC931" s="26"/>
      <c r="AD931" s="26"/>
    </row>
    <row r="932">
      <c r="H932" s="5"/>
      <c r="O932" s="5"/>
      <c r="V932" s="5"/>
      <c r="X932" s="28"/>
      <c r="Y932" s="26"/>
      <c r="Z932" s="26"/>
      <c r="AA932" s="26"/>
      <c r="AB932" s="26"/>
      <c r="AC932" s="26"/>
      <c r="AD932" s="26"/>
    </row>
    <row r="933">
      <c r="H933" s="5"/>
      <c r="O933" s="5"/>
      <c r="V933" s="5"/>
      <c r="X933" s="29"/>
      <c r="Y933" s="26"/>
      <c r="Z933" s="26"/>
      <c r="AA933" s="26"/>
      <c r="AB933" s="26"/>
      <c r="AC933" s="26"/>
      <c r="AD933" s="26"/>
    </row>
    <row r="934">
      <c r="H934" s="5"/>
      <c r="O934" s="5"/>
      <c r="V934" s="5"/>
      <c r="X934" s="28"/>
      <c r="Y934" s="26"/>
      <c r="Z934" s="26"/>
      <c r="AA934" s="26"/>
      <c r="AB934" s="26"/>
      <c r="AC934" s="26"/>
      <c r="AD934" s="26"/>
    </row>
    <row r="935">
      <c r="H935" s="5"/>
      <c r="O935" s="5"/>
      <c r="V935" s="5"/>
      <c r="X935" s="29"/>
      <c r="Y935" s="26"/>
      <c r="Z935" s="26"/>
      <c r="AA935" s="26"/>
      <c r="AB935" s="26"/>
      <c r="AC935" s="26"/>
      <c r="AD935" s="26"/>
    </row>
    <row r="936">
      <c r="H936" s="5"/>
      <c r="O936" s="5"/>
      <c r="V936" s="5"/>
      <c r="X936" s="28"/>
      <c r="Y936" s="26"/>
      <c r="Z936" s="26"/>
      <c r="AA936" s="26"/>
      <c r="AB936" s="26"/>
      <c r="AC936" s="26"/>
      <c r="AD936" s="26"/>
    </row>
    <row r="937">
      <c r="H937" s="5"/>
      <c r="O937" s="5"/>
      <c r="V937" s="5"/>
      <c r="X937" s="29"/>
      <c r="Y937" s="26"/>
      <c r="Z937" s="26"/>
      <c r="AA937" s="26"/>
      <c r="AB937" s="26"/>
      <c r="AC937" s="26"/>
      <c r="AD937" s="26"/>
    </row>
    <row r="938">
      <c r="H938" s="5"/>
      <c r="O938" s="5"/>
      <c r="V938" s="5"/>
      <c r="X938" s="28"/>
      <c r="Y938" s="26"/>
      <c r="Z938" s="26"/>
      <c r="AA938" s="26"/>
      <c r="AB938" s="26"/>
      <c r="AC938" s="26"/>
      <c r="AD938" s="26"/>
    </row>
    <row r="939">
      <c r="H939" s="5"/>
      <c r="O939" s="5"/>
      <c r="V939" s="5"/>
      <c r="X939" s="29"/>
      <c r="Y939" s="26"/>
      <c r="Z939" s="26"/>
      <c r="AA939" s="26"/>
      <c r="AB939" s="26"/>
      <c r="AC939" s="26"/>
      <c r="AD939" s="26"/>
    </row>
    <row r="940">
      <c r="H940" s="5"/>
      <c r="O940" s="5"/>
      <c r="V940" s="5"/>
      <c r="X940" s="28"/>
      <c r="Y940" s="26"/>
      <c r="Z940" s="26"/>
      <c r="AA940" s="26"/>
      <c r="AB940" s="26"/>
      <c r="AC940" s="26"/>
      <c r="AD940" s="26"/>
    </row>
    <row r="941">
      <c r="H941" s="5"/>
      <c r="O941" s="5"/>
      <c r="V941" s="5"/>
      <c r="X941" s="29"/>
      <c r="Y941" s="26"/>
      <c r="Z941" s="26"/>
      <c r="AA941" s="26"/>
      <c r="AB941" s="26"/>
      <c r="AC941" s="26"/>
      <c r="AD941" s="26"/>
    </row>
    <row r="942">
      <c r="H942" s="5"/>
      <c r="O942" s="5"/>
      <c r="V942" s="5"/>
      <c r="X942" s="28"/>
      <c r="Y942" s="26"/>
      <c r="Z942" s="26"/>
      <c r="AA942" s="26"/>
      <c r="AB942" s="26"/>
      <c r="AC942" s="26"/>
      <c r="AD942" s="26"/>
    </row>
    <row r="943">
      <c r="H943" s="5"/>
      <c r="O943" s="5"/>
      <c r="V943" s="5"/>
      <c r="X943" s="29"/>
      <c r="Y943" s="26"/>
      <c r="Z943" s="26"/>
      <c r="AA943" s="26"/>
      <c r="AB943" s="26"/>
      <c r="AC943" s="26"/>
      <c r="AD943" s="26"/>
    </row>
    <row r="944">
      <c r="H944" s="5"/>
      <c r="O944" s="5"/>
      <c r="V944" s="5"/>
      <c r="X944" s="28"/>
      <c r="Y944" s="26"/>
      <c r="Z944" s="26"/>
      <c r="AA944" s="26"/>
      <c r="AB944" s="26"/>
      <c r="AC944" s="26"/>
      <c r="AD944" s="26"/>
    </row>
    <row r="945">
      <c r="H945" s="5"/>
      <c r="O945" s="5"/>
      <c r="V945" s="5"/>
      <c r="X945" s="29"/>
      <c r="Y945" s="26"/>
      <c r="Z945" s="26"/>
      <c r="AA945" s="26"/>
      <c r="AB945" s="26"/>
      <c r="AC945" s="26"/>
      <c r="AD945" s="26"/>
    </row>
    <row r="946">
      <c r="H946" s="5"/>
      <c r="O946" s="5"/>
      <c r="V946" s="5"/>
      <c r="X946" s="28"/>
      <c r="Y946" s="26"/>
      <c r="Z946" s="26"/>
      <c r="AA946" s="26"/>
      <c r="AB946" s="26"/>
      <c r="AC946" s="26"/>
      <c r="AD946" s="26"/>
    </row>
    <row r="947">
      <c r="H947" s="5"/>
      <c r="O947" s="5"/>
      <c r="V947" s="5"/>
      <c r="X947" s="29"/>
      <c r="Y947" s="26"/>
      <c r="Z947" s="26"/>
      <c r="AA947" s="26"/>
      <c r="AB947" s="26"/>
      <c r="AC947" s="26"/>
      <c r="AD947" s="26"/>
    </row>
    <row r="948">
      <c r="H948" s="5"/>
      <c r="O948" s="5"/>
      <c r="V948" s="5"/>
      <c r="X948" s="28"/>
      <c r="Y948" s="26"/>
      <c r="Z948" s="26"/>
      <c r="AA948" s="26"/>
      <c r="AB948" s="26"/>
      <c r="AC948" s="26"/>
      <c r="AD948" s="26"/>
    </row>
    <row r="949">
      <c r="H949" s="5"/>
      <c r="O949" s="5"/>
      <c r="V949" s="5"/>
      <c r="X949" s="29"/>
      <c r="Y949" s="26"/>
      <c r="Z949" s="26"/>
      <c r="AA949" s="26"/>
      <c r="AB949" s="26"/>
      <c r="AC949" s="26"/>
      <c r="AD949" s="26"/>
    </row>
    <row r="950">
      <c r="H950" s="5"/>
      <c r="O950" s="5"/>
      <c r="V950" s="5"/>
      <c r="X950" s="28"/>
      <c r="Y950" s="26"/>
      <c r="Z950" s="26"/>
      <c r="AA950" s="26"/>
      <c r="AB950" s="26"/>
      <c r="AC950" s="26"/>
      <c r="AD950" s="26"/>
    </row>
    <row r="951">
      <c r="H951" s="5"/>
      <c r="O951" s="5"/>
      <c r="V951" s="5"/>
      <c r="X951" s="29"/>
      <c r="Y951" s="26"/>
      <c r="Z951" s="26"/>
      <c r="AA951" s="26"/>
      <c r="AB951" s="26"/>
      <c r="AC951" s="26"/>
      <c r="AD951" s="26"/>
    </row>
    <row r="952">
      <c r="H952" s="5"/>
      <c r="O952" s="5"/>
      <c r="V952" s="5"/>
      <c r="X952" s="28"/>
      <c r="Y952" s="26"/>
      <c r="Z952" s="26"/>
      <c r="AA952" s="26"/>
      <c r="AB952" s="26"/>
      <c r="AC952" s="26"/>
      <c r="AD952" s="26"/>
    </row>
    <row r="953">
      <c r="H953" s="5"/>
      <c r="O953" s="5"/>
      <c r="V953" s="5"/>
      <c r="X953" s="29"/>
      <c r="Y953" s="26"/>
      <c r="Z953" s="26"/>
      <c r="AA953" s="26"/>
      <c r="AB953" s="26"/>
      <c r="AC953" s="26"/>
      <c r="AD953" s="26"/>
    </row>
    <row r="954">
      <c r="H954" s="5"/>
      <c r="O954" s="5"/>
      <c r="V954" s="5"/>
      <c r="X954" s="28"/>
      <c r="Y954" s="26"/>
      <c r="Z954" s="26"/>
      <c r="AA954" s="26"/>
      <c r="AB954" s="26"/>
      <c r="AC954" s="26"/>
      <c r="AD954" s="26"/>
    </row>
    <row r="955">
      <c r="H955" s="5"/>
      <c r="O955" s="5"/>
      <c r="V955" s="5"/>
      <c r="X955" s="29"/>
      <c r="Y955" s="26"/>
      <c r="Z955" s="26"/>
      <c r="AA955" s="26"/>
      <c r="AB955" s="26"/>
      <c r="AC955" s="26"/>
      <c r="AD955" s="26"/>
    </row>
    <row r="956">
      <c r="H956" s="5"/>
      <c r="O956" s="5"/>
      <c r="V956" s="5"/>
      <c r="X956" s="28"/>
      <c r="Y956" s="26"/>
      <c r="Z956" s="26"/>
      <c r="AA956" s="26"/>
      <c r="AB956" s="26"/>
      <c r="AC956" s="26"/>
      <c r="AD956" s="26"/>
    </row>
    <row r="957">
      <c r="H957" s="5"/>
      <c r="O957" s="5"/>
      <c r="V957" s="5"/>
      <c r="X957" s="29"/>
      <c r="Y957" s="26"/>
      <c r="Z957" s="26"/>
      <c r="AA957" s="26"/>
      <c r="AB957" s="26"/>
      <c r="AC957" s="26"/>
      <c r="AD957" s="26"/>
    </row>
    <row r="958">
      <c r="H958" s="5"/>
      <c r="O958" s="5"/>
      <c r="V958" s="5"/>
      <c r="X958" s="28"/>
      <c r="Y958" s="26"/>
      <c r="Z958" s="26"/>
      <c r="AA958" s="26"/>
      <c r="AB958" s="26"/>
      <c r="AC958" s="26"/>
      <c r="AD958" s="26"/>
    </row>
    <row r="959">
      <c r="H959" s="5"/>
      <c r="O959" s="5"/>
      <c r="V959" s="5"/>
      <c r="X959" s="29"/>
      <c r="Y959" s="26"/>
      <c r="Z959" s="26"/>
      <c r="AA959" s="26"/>
      <c r="AB959" s="26"/>
      <c r="AC959" s="26"/>
      <c r="AD959" s="26"/>
    </row>
    <row r="960">
      <c r="H960" s="5"/>
      <c r="O960" s="5"/>
      <c r="V960" s="5"/>
      <c r="X960" s="28"/>
      <c r="Y960" s="26"/>
      <c r="Z960" s="26"/>
      <c r="AA960" s="26"/>
      <c r="AB960" s="26"/>
      <c r="AC960" s="26"/>
      <c r="AD960" s="26"/>
    </row>
    <row r="961">
      <c r="H961" s="5"/>
      <c r="O961" s="5"/>
      <c r="V961" s="5"/>
      <c r="X961" s="29"/>
      <c r="Y961" s="26"/>
      <c r="Z961" s="26"/>
      <c r="AA961" s="26"/>
      <c r="AB961" s="26"/>
      <c r="AC961" s="26"/>
      <c r="AD961" s="26"/>
    </row>
    <row r="962">
      <c r="H962" s="5"/>
      <c r="O962" s="5"/>
      <c r="V962" s="5"/>
      <c r="X962" s="28"/>
      <c r="Y962" s="26"/>
      <c r="Z962" s="26"/>
      <c r="AA962" s="26"/>
      <c r="AB962" s="26"/>
      <c r="AC962" s="26"/>
      <c r="AD962" s="26"/>
    </row>
    <row r="963">
      <c r="H963" s="5"/>
      <c r="O963" s="5"/>
      <c r="V963" s="5"/>
      <c r="X963" s="29"/>
      <c r="Y963" s="26"/>
      <c r="Z963" s="26"/>
      <c r="AA963" s="26"/>
      <c r="AB963" s="26"/>
      <c r="AC963" s="26"/>
      <c r="AD963" s="26"/>
    </row>
    <row r="964">
      <c r="H964" s="5"/>
      <c r="O964" s="5"/>
      <c r="V964" s="5"/>
      <c r="X964" s="28"/>
      <c r="Y964" s="26"/>
      <c r="Z964" s="26"/>
      <c r="AA964" s="26"/>
      <c r="AB964" s="26"/>
      <c r="AC964" s="26"/>
      <c r="AD964" s="26"/>
    </row>
    <row r="965">
      <c r="H965" s="5"/>
      <c r="O965" s="5"/>
      <c r="V965" s="5"/>
      <c r="X965" s="29"/>
      <c r="Y965" s="26"/>
      <c r="Z965" s="26"/>
      <c r="AA965" s="26"/>
      <c r="AB965" s="26"/>
      <c r="AC965" s="26"/>
      <c r="AD965" s="26"/>
    </row>
    <row r="966">
      <c r="H966" s="5"/>
      <c r="O966" s="5"/>
      <c r="V966" s="5"/>
      <c r="X966" s="28"/>
      <c r="Y966" s="26"/>
      <c r="Z966" s="26"/>
      <c r="AA966" s="26"/>
      <c r="AB966" s="26"/>
      <c r="AC966" s="26"/>
      <c r="AD966" s="26"/>
    </row>
    <row r="967">
      <c r="H967" s="5"/>
      <c r="O967" s="5"/>
      <c r="V967" s="5"/>
      <c r="X967" s="29"/>
      <c r="Y967" s="26"/>
      <c r="Z967" s="26"/>
      <c r="AA967" s="26"/>
      <c r="AB967" s="26"/>
      <c r="AC967" s="26"/>
      <c r="AD967" s="26"/>
    </row>
    <row r="968">
      <c r="H968" s="5"/>
      <c r="O968" s="5"/>
      <c r="V968" s="5"/>
      <c r="X968" s="28"/>
      <c r="Y968" s="26"/>
      <c r="Z968" s="26"/>
      <c r="AA968" s="26"/>
      <c r="AB968" s="26"/>
      <c r="AC968" s="26"/>
      <c r="AD968" s="26"/>
    </row>
    <row r="969">
      <c r="H969" s="5"/>
      <c r="O969" s="5"/>
      <c r="V969" s="5"/>
      <c r="X969" s="29"/>
      <c r="Y969" s="26"/>
      <c r="Z969" s="26"/>
      <c r="AA969" s="26"/>
      <c r="AB969" s="26"/>
      <c r="AC969" s="26"/>
      <c r="AD969" s="26"/>
    </row>
    <row r="970">
      <c r="H970" s="5"/>
      <c r="O970" s="5"/>
      <c r="V970" s="5"/>
      <c r="X970" s="28"/>
      <c r="Y970" s="26"/>
      <c r="Z970" s="26"/>
      <c r="AA970" s="26"/>
      <c r="AB970" s="26"/>
      <c r="AC970" s="26"/>
      <c r="AD970" s="26"/>
    </row>
    <row r="971">
      <c r="H971" s="5"/>
      <c r="O971" s="5"/>
      <c r="V971" s="5"/>
      <c r="X971" s="29"/>
      <c r="Y971" s="26"/>
      <c r="Z971" s="26"/>
      <c r="AA971" s="26"/>
      <c r="AB971" s="26"/>
      <c r="AC971" s="26"/>
      <c r="AD971" s="26"/>
    </row>
    <row r="972">
      <c r="H972" s="5"/>
      <c r="O972" s="5"/>
      <c r="V972" s="5"/>
      <c r="X972" s="28"/>
      <c r="Y972" s="26"/>
      <c r="Z972" s="26"/>
      <c r="AA972" s="26"/>
      <c r="AB972" s="26"/>
      <c r="AC972" s="26"/>
      <c r="AD972" s="26"/>
    </row>
    <row r="973">
      <c r="H973" s="5"/>
      <c r="O973" s="5"/>
      <c r="V973" s="5"/>
      <c r="X973" s="29"/>
      <c r="Y973" s="26"/>
      <c r="Z973" s="26"/>
      <c r="AA973" s="26"/>
      <c r="AB973" s="26"/>
      <c r="AC973" s="26"/>
      <c r="AD973" s="26"/>
    </row>
    <row r="974">
      <c r="H974" s="5"/>
      <c r="O974" s="5"/>
      <c r="V974" s="5"/>
      <c r="X974" s="28"/>
      <c r="Y974" s="26"/>
      <c r="Z974" s="26"/>
      <c r="AA974" s="26"/>
      <c r="AB974" s="26"/>
      <c r="AC974" s="26"/>
      <c r="AD974" s="26"/>
    </row>
    <row r="975">
      <c r="H975" s="5"/>
      <c r="O975" s="5"/>
      <c r="V975" s="5"/>
      <c r="X975" s="29"/>
      <c r="Y975" s="26"/>
      <c r="Z975" s="26"/>
      <c r="AA975" s="26"/>
      <c r="AB975" s="26"/>
      <c r="AC975" s="26"/>
      <c r="AD975" s="26"/>
    </row>
    <row r="976">
      <c r="H976" s="5"/>
      <c r="O976" s="5"/>
      <c r="V976" s="5"/>
      <c r="X976" s="28"/>
      <c r="Y976" s="26"/>
      <c r="Z976" s="26"/>
      <c r="AA976" s="26"/>
      <c r="AB976" s="26"/>
      <c r="AC976" s="26"/>
      <c r="AD976" s="26"/>
    </row>
    <row r="977">
      <c r="H977" s="5"/>
      <c r="O977" s="5"/>
      <c r="V977" s="5"/>
      <c r="X977" s="29"/>
      <c r="Y977" s="26"/>
      <c r="Z977" s="26"/>
      <c r="AA977" s="26"/>
      <c r="AB977" s="26"/>
      <c r="AC977" s="26"/>
      <c r="AD977" s="26"/>
    </row>
    <row r="978">
      <c r="H978" s="5"/>
      <c r="O978" s="5"/>
      <c r="V978" s="5"/>
      <c r="X978" s="28"/>
      <c r="Y978" s="26"/>
      <c r="Z978" s="26"/>
      <c r="AA978" s="26"/>
      <c r="AB978" s="26"/>
      <c r="AC978" s="26"/>
      <c r="AD978" s="26"/>
    </row>
    <row r="979">
      <c r="H979" s="5"/>
      <c r="O979" s="5"/>
      <c r="V979" s="5"/>
      <c r="X979" s="29"/>
      <c r="Y979" s="26"/>
      <c r="Z979" s="26"/>
      <c r="AA979" s="26"/>
      <c r="AB979" s="26"/>
      <c r="AC979" s="26"/>
      <c r="AD979" s="26"/>
    </row>
    <row r="980">
      <c r="H980" s="5"/>
      <c r="O980" s="5"/>
      <c r="V980" s="5"/>
      <c r="X980" s="28"/>
      <c r="Y980" s="26"/>
      <c r="Z980" s="26"/>
      <c r="AA980" s="26"/>
      <c r="AB980" s="26"/>
      <c r="AC980" s="26"/>
      <c r="AD980" s="26"/>
    </row>
    <row r="981">
      <c r="H981" s="5"/>
      <c r="O981" s="5"/>
      <c r="V981" s="5"/>
      <c r="X981" s="29"/>
      <c r="Y981" s="26"/>
      <c r="Z981" s="26"/>
      <c r="AA981" s="26"/>
      <c r="AB981" s="26"/>
      <c r="AC981" s="26"/>
      <c r="AD981" s="26"/>
    </row>
    <row r="982">
      <c r="H982" s="5"/>
      <c r="O982" s="5"/>
      <c r="V982" s="5"/>
      <c r="X982" s="28"/>
      <c r="Y982" s="26"/>
      <c r="Z982" s="26"/>
      <c r="AA982" s="26"/>
      <c r="AB982" s="26"/>
      <c r="AC982" s="26"/>
      <c r="AD982" s="26"/>
    </row>
    <row r="983">
      <c r="H983" s="5"/>
      <c r="O983" s="5"/>
      <c r="V983" s="5"/>
      <c r="X983" s="29"/>
      <c r="Y983" s="26"/>
      <c r="Z983" s="26"/>
      <c r="AA983" s="26"/>
      <c r="AB983" s="26"/>
      <c r="AC983" s="26"/>
      <c r="AD983" s="26"/>
    </row>
    <row r="984">
      <c r="H984" s="5"/>
      <c r="O984" s="5"/>
      <c r="V984" s="5"/>
      <c r="X984" s="28"/>
      <c r="Y984" s="26"/>
      <c r="Z984" s="26"/>
      <c r="AA984" s="26"/>
      <c r="AB984" s="26"/>
      <c r="AC984" s="26"/>
      <c r="AD984" s="26"/>
    </row>
    <row r="985">
      <c r="H985" s="5"/>
      <c r="O985" s="5"/>
      <c r="V985" s="5"/>
      <c r="X985" s="29"/>
      <c r="Y985" s="26"/>
      <c r="Z985" s="26"/>
      <c r="AA985" s="26"/>
      <c r="AB985" s="26"/>
      <c r="AC985" s="26"/>
      <c r="AD985" s="26"/>
    </row>
    <row r="986">
      <c r="H986" s="5"/>
      <c r="O986" s="5"/>
      <c r="V986" s="5"/>
      <c r="X986" s="28"/>
      <c r="Y986" s="26"/>
      <c r="Z986" s="26"/>
      <c r="AA986" s="26"/>
      <c r="AB986" s="26"/>
      <c r="AC986" s="26"/>
      <c r="AD986" s="26"/>
    </row>
    <row r="987">
      <c r="H987" s="5"/>
      <c r="O987" s="5"/>
      <c r="V987" s="5"/>
      <c r="X987" s="29"/>
      <c r="Y987" s="26"/>
      <c r="Z987" s="26"/>
      <c r="AA987" s="26"/>
      <c r="AB987" s="26"/>
      <c r="AC987" s="26"/>
      <c r="AD987" s="26"/>
    </row>
    <row r="988">
      <c r="H988" s="5"/>
      <c r="O988" s="5"/>
      <c r="V988" s="5"/>
      <c r="X988" s="28"/>
      <c r="Y988" s="26"/>
      <c r="Z988" s="26"/>
      <c r="AA988" s="26"/>
      <c r="AB988" s="26"/>
      <c r="AC988" s="26"/>
      <c r="AD988" s="26"/>
    </row>
    <row r="989">
      <c r="H989" s="5"/>
      <c r="O989" s="5"/>
      <c r="V989" s="5"/>
      <c r="X989" s="29"/>
      <c r="Y989" s="26"/>
      <c r="Z989" s="26"/>
      <c r="AA989" s="26"/>
      <c r="AB989" s="26"/>
      <c r="AC989" s="26"/>
      <c r="AD989" s="26"/>
    </row>
    <row r="990">
      <c r="H990" s="5"/>
      <c r="O990" s="5"/>
      <c r="V990" s="5"/>
      <c r="X990" s="28"/>
      <c r="Y990" s="26"/>
      <c r="Z990" s="26"/>
      <c r="AA990" s="26"/>
      <c r="AB990" s="26"/>
      <c r="AC990" s="26"/>
      <c r="AD990" s="26"/>
    </row>
    <row r="991">
      <c r="H991" s="5"/>
      <c r="O991" s="5"/>
      <c r="V991" s="5"/>
      <c r="X991" s="29"/>
      <c r="Y991" s="26"/>
      <c r="Z991" s="26"/>
      <c r="AA991" s="26"/>
      <c r="AB991" s="26"/>
      <c r="AC991" s="26"/>
      <c r="AD991" s="26"/>
    </row>
    <row r="992">
      <c r="H992" s="5"/>
      <c r="O992" s="5"/>
      <c r="V992" s="5"/>
      <c r="X992" s="28"/>
      <c r="Y992" s="26"/>
      <c r="Z992" s="26"/>
      <c r="AA992" s="26"/>
      <c r="AB992" s="26"/>
      <c r="AC992" s="26"/>
      <c r="AD992" s="26"/>
    </row>
    <row r="993">
      <c r="H993" s="5"/>
      <c r="O993" s="5"/>
      <c r="V993" s="5"/>
      <c r="X993" s="29"/>
      <c r="Y993" s="26"/>
      <c r="Z993" s="26"/>
      <c r="AA993" s="26"/>
      <c r="AB993" s="26"/>
      <c r="AC993" s="26"/>
      <c r="AD993" s="26"/>
    </row>
    <row r="994">
      <c r="H994" s="5"/>
      <c r="O994" s="5"/>
      <c r="V994" s="5"/>
      <c r="X994" s="28"/>
      <c r="Y994" s="26"/>
      <c r="Z994" s="26"/>
      <c r="AA994" s="26"/>
      <c r="AB994" s="26"/>
      <c r="AC994" s="26"/>
      <c r="AD994" s="26"/>
    </row>
    <row r="995">
      <c r="H995" s="5"/>
      <c r="O995" s="5"/>
      <c r="V995" s="5"/>
      <c r="X995" s="29"/>
      <c r="Y995" s="26"/>
      <c r="Z995" s="26"/>
      <c r="AA995" s="26"/>
      <c r="AB995" s="26"/>
      <c r="AC995" s="26"/>
      <c r="AD995" s="26"/>
    </row>
    <row r="996">
      <c r="H996" s="5"/>
      <c r="O996" s="5"/>
      <c r="V996" s="5"/>
      <c r="X996" s="28"/>
      <c r="Y996" s="26"/>
      <c r="Z996" s="26"/>
      <c r="AA996" s="26"/>
      <c r="AB996" s="26"/>
      <c r="AC996" s="26"/>
      <c r="AD996" s="26"/>
    </row>
    <row r="997">
      <c r="H997" s="5"/>
      <c r="O997" s="5"/>
      <c r="V997" s="5"/>
      <c r="X997" s="29"/>
      <c r="Y997" s="26"/>
      <c r="Z997" s="26"/>
      <c r="AA997" s="26"/>
      <c r="AB997" s="26"/>
      <c r="AC997" s="26"/>
      <c r="AD997" s="26"/>
    </row>
    <row r="998">
      <c r="H998" s="5"/>
      <c r="O998" s="5"/>
      <c r="V998" s="5"/>
      <c r="X998" s="28"/>
      <c r="Y998" s="26"/>
      <c r="Z998" s="26"/>
      <c r="AA998" s="26"/>
      <c r="AB998" s="26"/>
      <c r="AC998" s="26"/>
      <c r="AD998" s="26"/>
    </row>
    <row r="999">
      <c r="H999" s="5"/>
      <c r="O999" s="5"/>
      <c r="V999" s="5"/>
      <c r="X999" s="29"/>
      <c r="Y999" s="26"/>
      <c r="Z999" s="26"/>
      <c r="AA999" s="26"/>
      <c r="AB999" s="26"/>
      <c r="AC999" s="26"/>
      <c r="AD999" s="26"/>
    </row>
    <row r="1000">
      <c r="H1000" s="5"/>
      <c r="O1000" s="5"/>
      <c r="V1000" s="5"/>
      <c r="X1000" s="28"/>
      <c r="Y1000" s="26"/>
      <c r="Z1000" s="26"/>
      <c r="AA1000" s="26"/>
      <c r="AB1000" s="26"/>
      <c r="AC1000" s="26"/>
      <c r="AD1000" s="26"/>
    </row>
  </sheetData>
  <mergeCells count="2">
    <mergeCell ref="A2:V3"/>
    <mergeCell ref="Z2:A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5.75"/>
    <col customWidth="1" min="24" max="24" width="37.63"/>
  </cols>
  <sheetData>
    <row r="1">
      <c r="H1" s="5"/>
      <c r="O1" s="5"/>
      <c r="V1" s="5"/>
      <c r="X1" s="25"/>
      <c r="Y1" s="26"/>
      <c r="Z1" s="26"/>
      <c r="AA1" s="26"/>
      <c r="AB1" s="26"/>
      <c r="AC1" s="26"/>
      <c r="AD1" s="26"/>
    </row>
    <row r="2">
      <c r="A2" s="32" t="s">
        <v>99</v>
      </c>
      <c r="X2" s="28"/>
      <c r="Y2" s="26"/>
      <c r="Z2" s="32" t="s">
        <v>93</v>
      </c>
    </row>
    <row r="3">
      <c r="X3" s="29"/>
      <c r="Y3" s="26"/>
    </row>
    <row r="4">
      <c r="H4" s="5"/>
      <c r="O4" s="5"/>
      <c r="V4" s="5"/>
      <c r="X4" s="28"/>
      <c r="Y4" s="26"/>
      <c r="Z4" s="26"/>
      <c r="AA4" s="26"/>
      <c r="AB4" s="26"/>
      <c r="AC4" s="26"/>
      <c r="AD4" s="26"/>
    </row>
    <row r="5">
      <c r="A5" s="20" t="str">
        <f>Teams!B19</f>
        <v>Team 9</v>
      </c>
      <c r="C5" s="21" t="str">
        <f>"M1: " &amp; Teams!B20</f>
        <v>M1: Team 10</v>
      </c>
      <c r="D5" s="3" t="s">
        <v>18</v>
      </c>
      <c r="E5" s="3" t="s">
        <v>24</v>
      </c>
      <c r="F5" s="3" t="s">
        <v>21</v>
      </c>
      <c r="G5" s="3" t="s">
        <v>94</v>
      </c>
      <c r="H5" s="3" t="s">
        <v>95</v>
      </c>
      <c r="J5" s="21" t="str">
        <f>"M2: " &amp; Teams!B21</f>
        <v>M2: Team 11</v>
      </c>
      <c r="K5" s="3" t="s">
        <v>18</v>
      </c>
      <c r="L5" s="3" t="s">
        <v>24</v>
      </c>
      <c r="M5" s="3" t="s">
        <v>21</v>
      </c>
      <c r="N5" s="3" t="s">
        <v>94</v>
      </c>
      <c r="O5" s="3" t="s">
        <v>95</v>
      </c>
      <c r="Q5" s="21" t="str">
        <f>"M3: " &amp; Teams!B22</f>
        <v>M3: Team 12</v>
      </c>
      <c r="R5" s="3" t="s">
        <v>18</v>
      </c>
      <c r="S5" s="3" t="s">
        <v>24</v>
      </c>
      <c r="T5" s="3" t="s">
        <v>21</v>
      </c>
      <c r="U5" s="3" t="s">
        <v>94</v>
      </c>
      <c r="V5" s="3" t="s">
        <v>95</v>
      </c>
      <c r="X5" s="29"/>
      <c r="Y5" s="26"/>
      <c r="Z5" s="26"/>
      <c r="AA5" s="30" t="s">
        <v>96</v>
      </c>
      <c r="AB5" s="30" t="s">
        <v>97</v>
      </c>
      <c r="AC5" s="26"/>
      <c r="AD5" s="26"/>
    </row>
    <row r="6">
      <c r="C6" s="3" t="str">
        <f>Teams!C19</f>
        <v>T9P1</v>
      </c>
      <c r="D6" s="3"/>
      <c r="E6" s="5"/>
      <c r="F6" s="5"/>
      <c r="G6" s="5"/>
      <c r="H6" s="5">
        <f t="shared" ref="H6:H9" si="1">SUM(D6:G6)</f>
        <v>0</v>
      </c>
      <c r="J6" s="3" t="str">
        <f>Teams!C19</f>
        <v>T9P1</v>
      </c>
      <c r="K6" s="3"/>
      <c r="L6" s="5"/>
      <c r="M6" s="5"/>
      <c r="N6" s="5"/>
      <c r="O6" s="5">
        <f t="shared" ref="O6:O9" si="2">SUM(K6:N6)</f>
        <v>0</v>
      </c>
      <c r="Q6" s="3" t="str">
        <f>Teams!C19</f>
        <v>T9P1</v>
      </c>
      <c r="R6" s="3"/>
      <c r="S6" s="5"/>
      <c r="T6" s="5"/>
      <c r="U6" s="5"/>
      <c r="V6" s="5">
        <f t="shared" ref="V6:V9" si="3">SUM(R6:U6)</f>
        <v>0</v>
      </c>
      <c r="X6" s="28"/>
      <c r="Y6" s="26"/>
      <c r="Z6" s="22" t="str">
        <f>Teams!B19</f>
        <v>Team 9</v>
      </c>
      <c r="AA6" s="23" t="str">
        <f>Teams!C19</f>
        <v>T9P1</v>
      </c>
      <c r="AB6" s="23">
        <f t="shared" ref="AB6:AB9" si="4">SUM(H6,O6,V6)</f>
        <v>0</v>
      </c>
      <c r="AC6" s="26"/>
      <c r="AD6" s="26"/>
    </row>
    <row r="7">
      <c r="C7" s="3" t="str">
        <f>Teams!D19</f>
        <v>T9P2</v>
      </c>
      <c r="D7" s="5"/>
      <c r="E7" s="5"/>
      <c r="F7" s="5"/>
      <c r="G7" s="5"/>
      <c r="H7" s="5">
        <f t="shared" si="1"/>
        <v>0</v>
      </c>
      <c r="J7" s="3" t="str">
        <f>Teams!D19</f>
        <v>T9P2</v>
      </c>
      <c r="K7" s="5"/>
      <c r="L7" s="5"/>
      <c r="M7" s="5"/>
      <c r="N7" s="5"/>
      <c r="O7" s="5">
        <f t="shared" si="2"/>
        <v>0</v>
      </c>
      <c r="Q7" s="3" t="str">
        <f>Teams!D19</f>
        <v>T9P2</v>
      </c>
      <c r="R7" s="5"/>
      <c r="S7" s="5"/>
      <c r="T7" s="5"/>
      <c r="U7" s="5"/>
      <c r="V7" s="5">
        <f t="shared" si="3"/>
        <v>0</v>
      </c>
      <c r="X7" s="29"/>
      <c r="Y7" s="26"/>
      <c r="Z7" s="22">
        <f>SUM(AB6:AB9)</f>
        <v>0</v>
      </c>
      <c r="AA7" s="23" t="str">
        <f>Teams!D19</f>
        <v>T9P2</v>
      </c>
      <c r="AB7" s="23">
        <f t="shared" si="4"/>
        <v>0</v>
      </c>
      <c r="AC7" s="26"/>
      <c r="AD7" s="26"/>
    </row>
    <row r="8">
      <c r="C8" s="3" t="str">
        <f>Teams!E19</f>
        <v>T9P3</v>
      </c>
      <c r="D8" s="5"/>
      <c r="E8" s="5"/>
      <c r="F8" s="5"/>
      <c r="G8" s="5"/>
      <c r="H8" s="5">
        <f t="shared" si="1"/>
        <v>0</v>
      </c>
      <c r="J8" s="3" t="str">
        <f>Teams!E19</f>
        <v>T9P3</v>
      </c>
      <c r="K8" s="5"/>
      <c r="L8" s="5"/>
      <c r="M8" s="5"/>
      <c r="N8" s="5"/>
      <c r="O8" s="5">
        <f t="shared" si="2"/>
        <v>0</v>
      </c>
      <c r="Q8" s="3" t="str">
        <f>Teams!E19</f>
        <v>T9P3</v>
      </c>
      <c r="R8" s="5"/>
      <c r="S8" s="5"/>
      <c r="T8" s="5"/>
      <c r="U8" s="5"/>
      <c r="V8" s="5">
        <f t="shared" si="3"/>
        <v>0</v>
      </c>
      <c r="X8" s="28"/>
      <c r="Y8" s="26"/>
      <c r="Z8" s="26"/>
      <c r="AA8" s="23" t="str">
        <f>Teams!E19</f>
        <v>T9P3</v>
      </c>
      <c r="AB8" s="23">
        <f t="shared" si="4"/>
        <v>0</v>
      </c>
      <c r="AC8" s="26"/>
      <c r="AD8" s="26"/>
    </row>
    <row r="9">
      <c r="C9" s="3" t="str">
        <f>Teams!F19</f>
        <v>T9P4</v>
      </c>
      <c r="D9" s="5"/>
      <c r="E9" s="5"/>
      <c r="F9" s="5"/>
      <c r="G9" s="5"/>
      <c r="H9" s="5">
        <f t="shared" si="1"/>
        <v>0</v>
      </c>
      <c r="J9" s="3" t="str">
        <f>Teams!F19</f>
        <v>T9P4</v>
      </c>
      <c r="K9" s="5"/>
      <c r="L9" s="5"/>
      <c r="M9" s="5"/>
      <c r="N9" s="5"/>
      <c r="O9" s="5">
        <f t="shared" si="2"/>
        <v>0</v>
      </c>
      <c r="Q9" s="3" t="str">
        <f>Teams!F19</f>
        <v>T9P4</v>
      </c>
      <c r="R9" s="5"/>
      <c r="S9" s="5"/>
      <c r="T9" s="5"/>
      <c r="U9" s="5"/>
      <c r="V9" s="5">
        <f t="shared" si="3"/>
        <v>0</v>
      </c>
      <c r="X9" s="29"/>
      <c r="Y9" s="26"/>
      <c r="Z9" s="26"/>
      <c r="AA9" s="23" t="str">
        <f>Teams!F19</f>
        <v>T9P4</v>
      </c>
      <c r="AB9" s="23">
        <f t="shared" si="4"/>
        <v>0</v>
      </c>
      <c r="AC9" s="26"/>
      <c r="AD9" s="26"/>
    </row>
    <row r="10">
      <c r="H10" s="5"/>
      <c r="O10" s="5"/>
      <c r="V10" s="5"/>
      <c r="X10" s="28"/>
      <c r="Y10" s="26"/>
      <c r="Z10" s="26"/>
      <c r="AA10" s="26"/>
      <c r="AB10" s="26"/>
      <c r="AC10" s="26"/>
      <c r="AD10" s="26"/>
    </row>
    <row r="11">
      <c r="A11" s="20" t="str">
        <f>Teams!B20</f>
        <v>Team 10</v>
      </c>
      <c r="C11" s="21" t="str">
        <f>"M1: " &amp; Teams!B19</f>
        <v>M1: Team 9</v>
      </c>
      <c r="D11" s="3" t="s">
        <v>18</v>
      </c>
      <c r="E11" s="3" t="s">
        <v>24</v>
      </c>
      <c r="F11" s="3" t="s">
        <v>21</v>
      </c>
      <c r="G11" s="3" t="s">
        <v>94</v>
      </c>
      <c r="H11" s="3" t="s">
        <v>95</v>
      </c>
      <c r="J11" s="21" t="str">
        <f>"M2: " &amp; Teams!B22</f>
        <v>M2: Team 12</v>
      </c>
      <c r="K11" s="3" t="s">
        <v>18</v>
      </c>
      <c r="L11" s="3" t="s">
        <v>24</v>
      </c>
      <c r="M11" s="3" t="s">
        <v>21</v>
      </c>
      <c r="N11" s="3" t="s">
        <v>94</v>
      </c>
      <c r="O11" s="3" t="s">
        <v>95</v>
      </c>
      <c r="Q11" s="21" t="str">
        <f>"M3: " &amp; Teams!B21</f>
        <v>M3: Team 11</v>
      </c>
      <c r="R11" s="3" t="s">
        <v>18</v>
      </c>
      <c r="S11" s="3" t="s">
        <v>24</v>
      </c>
      <c r="T11" s="3" t="s">
        <v>21</v>
      </c>
      <c r="U11" s="3" t="s">
        <v>94</v>
      </c>
      <c r="V11" s="3" t="s">
        <v>95</v>
      </c>
      <c r="X11" s="29"/>
      <c r="Y11" s="26"/>
      <c r="Z11" s="22" t="str">
        <f>Teams!B20</f>
        <v>Team 10</v>
      </c>
      <c r="AA11" s="23" t="str">
        <f>Teams!C20</f>
        <v>T10P1</v>
      </c>
      <c r="AB11" s="23">
        <f t="shared" ref="AB11:AB14" si="5">SUM(H12,O12,V12)</f>
        <v>0</v>
      </c>
      <c r="AC11" s="26"/>
      <c r="AD11" s="26"/>
    </row>
    <row r="12">
      <c r="C12" s="3" t="str">
        <f>Teams!C20</f>
        <v>T10P1</v>
      </c>
      <c r="D12" s="3"/>
      <c r="E12" s="5"/>
      <c r="F12" s="5"/>
      <c r="G12" s="5"/>
      <c r="H12" s="5">
        <f t="shared" ref="H12:H15" si="6">SUM(D12:G12)</f>
        <v>0</v>
      </c>
      <c r="J12" s="3" t="str">
        <f>Teams!C20</f>
        <v>T10P1</v>
      </c>
      <c r="K12" s="3"/>
      <c r="L12" s="5"/>
      <c r="M12" s="5"/>
      <c r="N12" s="5"/>
      <c r="O12" s="5">
        <f t="shared" ref="O12:O15" si="7">SUM(K12:N12)</f>
        <v>0</v>
      </c>
      <c r="Q12" s="3" t="str">
        <f>Teams!C20</f>
        <v>T10P1</v>
      </c>
      <c r="R12" s="3"/>
      <c r="S12" s="5"/>
      <c r="T12" s="5"/>
      <c r="U12" s="5"/>
      <c r="V12" s="5">
        <f t="shared" ref="V12:V15" si="8">SUM(R12:U12)</f>
        <v>0</v>
      </c>
      <c r="X12" s="28"/>
      <c r="Y12" s="26"/>
      <c r="Z12" s="22">
        <f>SUM(AB11:AB14)</f>
        <v>0</v>
      </c>
      <c r="AA12" s="23" t="str">
        <f>Teams!D20</f>
        <v>T10P2</v>
      </c>
      <c r="AB12" s="23">
        <f t="shared" si="5"/>
        <v>0</v>
      </c>
      <c r="AC12" s="26"/>
      <c r="AD12" s="26"/>
    </row>
    <row r="13">
      <c r="C13" s="3" t="str">
        <f>Teams!D20</f>
        <v>T10P2</v>
      </c>
      <c r="D13" s="5"/>
      <c r="E13" s="5"/>
      <c r="F13" s="5"/>
      <c r="G13" s="5"/>
      <c r="H13" s="5">
        <f t="shared" si="6"/>
        <v>0</v>
      </c>
      <c r="J13" s="3" t="str">
        <f>Teams!D20</f>
        <v>T10P2</v>
      </c>
      <c r="K13" s="5"/>
      <c r="L13" s="5"/>
      <c r="M13" s="5"/>
      <c r="N13" s="5"/>
      <c r="O13" s="5">
        <f t="shared" si="7"/>
        <v>0</v>
      </c>
      <c r="Q13" s="3" t="str">
        <f>Teams!D20</f>
        <v>T10P2</v>
      </c>
      <c r="R13" s="5"/>
      <c r="S13" s="5"/>
      <c r="T13" s="5"/>
      <c r="U13" s="5"/>
      <c r="V13" s="5">
        <f t="shared" si="8"/>
        <v>0</v>
      </c>
      <c r="X13" s="29"/>
      <c r="Y13" s="26"/>
      <c r="Z13" s="26"/>
      <c r="AA13" s="23" t="str">
        <f>Teams!E20</f>
        <v>T10P3</v>
      </c>
      <c r="AB13" s="23">
        <f t="shared" si="5"/>
        <v>0</v>
      </c>
      <c r="AC13" s="26"/>
      <c r="AD13" s="26"/>
    </row>
    <row r="14">
      <c r="C14" s="3" t="str">
        <f>Teams!E20</f>
        <v>T10P3</v>
      </c>
      <c r="D14" s="5"/>
      <c r="E14" s="5"/>
      <c r="F14" s="5"/>
      <c r="G14" s="5"/>
      <c r="H14" s="5">
        <f t="shared" si="6"/>
        <v>0</v>
      </c>
      <c r="J14" s="3" t="str">
        <f>Teams!E20</f>
        <v>T10P3</v>
      </c>
      <c r="K14" s="5"/>
      <c r="L14" s="5"/>
      <c r="M14" s="5"/>
      <c r="N14" s="5"/>
      <c r="O14" s="5">
        <f t="shared" si="7"/>
        <v>0</v>
      </c>
      <c r="Q14" s="3" t="str">
        <f>Teams!E20</f>
        <v>T10P3</v>
      </c>
      <c r="R14" s="5"/>
      <c r="S14" s="5"/>
      <c r="T14" s="5"/>
      <c r="U14" s="5"/>
      <c r="V14" s="5">
        <f t="shared" si="8"/>
        <v>0</v>
      </c>
      <c r="X14" s="28"/>
      <c r="Y14" s="26"/>
      <c r="Z14" s="26"/>
      <c r="AA14" s="23" t="str">
        <f>Teams!F20</f>
        <v>T10P4</v>
      </c>
      <c r="AB14" s="23">
        <f t="shared" si="5"/>
        <v>0</v>
      </c>
      <c r="AC14" s="26"/>
      <c r="AD14" s="26"/>
    </row>
    <row r="15">
      <c r="C15" s="3" t="str">
        <f>Teams!F20</f>
        <v>T10P4</v>
      </c>
      <c r="D15" s="5"/>
      <c r="E15" s="5"/>
      <c r="F15" s="5"/>
      <c r="G15" s="5"/>
      <c r="H15" s="5">
        <f t="shared" si="6"/>
        <v>0</v>
      </c>
      <c r="J15" s="3" t="str">
        <f>Teams!F20</f>
        <v>T10P4</v>
      </c>
      <c r="K15" s="5"/>
      <c r="L15" s="5"/>
      <c r="M15" s="5"/>
      <c r="N15" s="5"/>
      <c r="O15" s="5">
        <f t="shared" si="7"/>
        <v>0</v>
      </c>
      <c r="Q15" s="3" t="str">
        <f>Teams!F20</f>
        <v>T10P4</v>
      </c>
      <c r="R15" s="5"/>
      <c r="S15" s="5"/>
      <c r="T15" s="5"/>
      <c r="U15" s="5"/>
      <c r="V15" s="5">
        <f t="shared" si="8"/>
        <v>0</v>
      </c>
      <c r="X15" s="29"/>
      <c r="Y15" s="26"/>
      <c r="Z15" s="26"/>
      <c r="AA15" s="26"/>
      <c r="AB15" s="26"/>
      <c r="AC15" s="26"/>
      <c r="AD15" s="26"/>
    </row>
    <row r="16">
      <c r="H16" s="5"/>
      <c r="O16" s="5"/>
      <c r="V16" s="5"/>
      <c r="X16" s="28"/>
      <c r="Y16" s="26"/>
      <c r="Z16" s="22" t="str">
        <f>Teams!B21</f>
        <v>Team 11</v>
      </c>
      <c r="AA16" s="23" t="str">
        <f>Teams!C21</f>
        <v>T11P1</v>
      </c>
      <c r="AB16" s="23">
        <f t="shared" ref="AB16:AB19" si="9">SUM(H18,O18,V18)</f>
        <v>0</v>
      </c>
      <c r="AC16" s="26"/>
      <c r="AD16" s="26"/>
    </row>
    <row r="17">
      <c r="A17" s="20" t="str">
        <f>Teams!B21</f>
        <v>Team 11</v>
      </c>
      <c r="C17" s="21" t="str">
        <f>"M1: " &amp; Teams!B22</f>
        <v>M1: Team 12</v>
      </c>
      <c r="D17" s="3" t="s">
        <v>18</v>
      </c>
      <c r="E17" s="3" t="s">
        <v>24</v>
      </c>
      <c r="F17" s="3" t="s">
        <v>21</v>
      </c>
      <c r="G17" s="3" t="s">
        <v>94</v>
      </c>
      <c r="H17" s="3" t="s">
        <v>95</v>
      </c>
      <c r="J17" s="21" t="str">
        <f>"M2: " &amp; Teams!B19</f>
        <v>M2: Team 9</v>
      </c>
      <c r="K17" s="3" t="s">
        <v>18</v>
      </c>
      <c r="L17" s="3" t="s">
        <v>24</v>
      </c>
      <c r="M17" s="3" t="s">
        <v>21</v>
      </c>
      <c r="N17" s="3" t="s">
        <v>94</v>
      </c>
      <c r="O17" s="3" t="s">
        <v>95</v>
      </c>
      <c r="Q17" s="21" t="str">
        <f>"M3: " &amp; Teams!B20</f>
        <v>M3: Team 10</v>
      </c>
      <c r="R17" s="3" t="s">
        <v>18</v>
      </c>
      <c r="S17" s="3" t="s">
        <v>24</v>
      </c>
      <c r="T17" s="3" t="s">
        <v>21</v>
      </c>
      <c r="U17" s="3" t="s">
        <v>94</v>
      </c>
      <c r="V17" s="3" t="s">
        <v>95</v>
      </c>
      <c r="X17" s="29"/>
      <c r="Y17" s="26"/>
      <c r="Z17" s="31">
        <f>SUM(AB16:AB19)</f>
        <v>0</v>
      </c>
      <c r="AA17" s="23" t="str">
        <f>Teams!D21</f>
        <v>T11P2</v>
      </c>
      <c r="AB17" s="23">
        <f t="shared" si="9"/>
        <v>0</v>
      </c>
      <c r="AC17" s="26"/>
      <c r="AD17" s="26"/>
    </row>
    <row r="18">
      <c r="C18" s="3" t="str">
        <f>Teams!C21</f>
        <v>T11P1</v>
      </c>
      <c r="D18" s="3"/>
      <c r="E18" s="5"/>
      <c r="F18" s="5"/>
      <c r="G18" s="5"/>
      <c r="H18" s="5">
        <f t="shared" ref="H18:H21" si="10">SUM(D18:G18)</f>
        <v>0</v>
      </c>
      <c r="J18" s="3" t="str">
        <f>Teams!C21</f>
        <v>T11P1</v>
      </c>
      <c r="K18" s="3"/>
      <c r="L18" s="5"/>
      <c r="M18" s="5"/>
      <c r="N18" s="5"/>
      <c r="O18" s="5">
        <f t="shared" ref="O18:O21" si="11">SUM(K18:N18)</f>
        <v>0</v>
      </c>
      <c r="Q18" s="3" t="str">
        <f>Teams!C21</f>
        <v>T11P1</v>
      </c>
      <c r="R18" s="3"/>
      <c r="S18" s="5"/>
      <c r="T18" s="5"/>
      <c r="U18" s="5"/>
      <c r="V18" s="5">
        <f t="shared" ref="V18:V21" si="12">SUM(R18:U18)</f>
        <v>0</v>
      </c>
      <c r="X18" s="28"/>
      <c r="Y18" s="26"/>
      <c r="Z18" s="26"/>
      <c r="AA18" s="23" t="str">
        <f>Teams!E21</f>
        <v>T11P3</v>
      </c>
      <c r="AB18" s="23">
        <f t="shared" si="9"/>
        <v>0</v>
      </c>
      <c r="AC18" s="26"/>
      <c r="AD18" s="26"/>
    </row>
    <row r="19">
      <c r="C19" s="3" t="str">
        <f>Teams!D21</f>
        <v>T11P2</v>
      </c>
      <c r="D19" s="5"/>
      <c r="E19" s="5"/>
      <c r="F19" s="5"/>
      <c r="G19" s="5"/>
      <c r="H19" s="5">
        <f t="shared" si="10"/>
        <v>0</v>
      </c>
      <c r="J19" s="3" t="str">
        <f>Teams!D21</f>
        <v>T11P2</v>
      </c>
      <c r="K19" s="5"/>
      <c r="L19" s="5"/>
      <c r="M19" s="5"/>
      <c r="N19" s="5"/>
      <c r="O19" s="5">
        <f t="shared" si="11"/>
        <v>0</v>
      </c>
      <c r="Q19" s="3" t="str">
        <f>Teams!D21</f>
        <v>T11P2</v>
      </c>
      <c r="R19" s="5"/>
      <c r="S19" s="5"/>
      <c r="T19" s="5"/>
      <c r="U19" s="5"/>
      <c r="V19" s="5">
        <f t="shared" si="12"/>
        <v>0</v>
      </c>
      <c r="X19" s="29"/>
      <c r="Y19" s="26"/>
      <c r="Z19" s="26"/>
      <c r="AA19" s="23" t="str">
        <f>Teams!F21</f>
        <v>T11P4</v>
      </c>
      <c r="AB19" s="23">
        <f t="shared" si="9"/>
        <v>0</v>
      </c>
      <c r="AC19" s="26"/>
      <c r="AD19" s="26"/>
    </row>
    <row r="20">
      <c r="C20" s="3" t="str">
        <f>Teams!E21</f>
        <v>T11P3</v>
      </c>
      <c r="D20" s="5"/>
      <c r="E20" s="5"/>
      <c r="F20" s="5"/>
      <c r="G20" s="5"/>
      <c r="H20" s="5">
        <f t="shared" si="10"/>
        <v>0</v>
      </c>
      <c r="J20" s="3" t="str">
        <f>Teams!E21</f>
        <v>T11P3</v>
      </c>
      <c r="K20" s="5"/>
      <c r="L20" s="5"/>
      <c r="M20" s="5"/>
      <c r="N20" s="5"/>
      <c r="O20" s="5">
        <f t="shared" si="11"/>
        <v>0</v>
      </c>
      <c r="Q20" s="3" t="str">
        <f>Teams!E21</f>
        <v>T11P3</v>
      </c>
      <c r="R20" s="5"/>
      <c r="S20" s="5"/>
      <c r="T20" s="5"/>
      <c r="U20" s="5"/>
      <c r="V20" s="5">
        <f t="shared" si="12"/>
        <v>0</v>
      </c>
      <c r="X20" s="28"/>
      <c r="Y20" s="26"/>
      <c r="Z20" s="26"/>
      <c r="AA20" s="26"/>
      <c r="AB20" s="26"/>
      <c r="AC20" s="26"/>
      <c r="AD20" s="26"/>
    </row>
    <row r="21">
      <c r="C21" s="3" t="str">
        <f>Teams!F21</f>
        <v>T11P4</v>
      </c>
      <c r="D21" s="5"/>
      <c r="E21" s="5"/>
      <c r="F21" s="5"/>
      <c r="G21" s="5"/>
      <c r="H21" s="5">
        <f t="shared" si="10"/>
        <v>0</v>
      </c>
      <c r="J21" s="3" t="str">
        <f>Teams!F21</f>
        <v>T11P4</v>
      </c>
      <c r="K21" s="5"/>
      <c r="L21" s="5"/>
      <c r="M21" s="5"/>
      <c r="N21" s="5"/>
      <c r="O21" s="5">
        <f t="shared" si="11"/>
        <v>0</v>
      </c>
      <c r="Q21" s="3" t="str">
        <f>Teams!F21</f>
        <v>T11P4</v>
      </c>
      <c r="R21" s="5"/>
      <c r="S21" s="5"/>
      <c r="T21" s="5"/>
      <c r="U21" s="5"/>
      <c r="V21" s="5">
        <f t="shared" si="12"/>
        <v>0</v>
      </c>
      <c r="X21" s="29"/>
      <c r="Y21" s="26"/>
      <c r="Z21" s="22" t="str">
        <f>Teams!B22</f>
        <v>Team 12</v>
      </c>
      <c r="AA21" s="23" t="str">
        <f>Teams!C22</f>
        <v>T12P1</v>
      </c>
      <c r="AB21" s="23">
        <f t="shared" ref="AB21:AB24" si="13">SUM(H24,O24,V24)</f>
        <v>0</v>
      </c>
      <c r="AC21" s="26"/>
      <c r="AD21" s="26"/>
    </row>
    <row r="22">
      <c r="H22" s="5"/>
      <c r="O22" s="5"/>
      <c r="V22" s="5"/>
      <c r="X22" s="28"/>
      <c r="Y22" s="26"/>
      <c r="Z22" s="22">
        <f>SUM(AB21:AB24)</f>
        <v>0</v>
      </c>
      <c r="AA22" s="23" t="str">
        <f>Teams!D22</f>
        <v>T12P2</v>
      </c>
      <c r="AB22" s="23">
        <f t="shared" si="13"/>
        <v>0</v>
      </c>
      <c r="AC22" s="26"/>
      <c r="AD22" s="26"/>
    </row>
    <row r="23">
      <c r="A23" s="20" t="str">
        <f>Teams!B22</f>
        <v>Team 12</v>
      </c>
      <c r="C23" s="21" t="str">
        <f>"M1: " &amp; Teams!B21</f>
        <v>M1: Team 11</v>
      </c>
      <c r="D23" s="3" t="s">
        <v>18</v>
      </c>
      <c r="E23" s="3" t="s">
        <v>24</v>
      </c>
      <c r="F23" s="3" t="s">
        <v>21</v>
      </c>
      <c r="G23" s="3" t="s">
        <v>94</v>
      </c>
      <c r="H23" s="3" t="s">
        <v>95</v>
      </c>
      <c r="J23" s="21" t="str">
        <f>"M2: " &amp; Teams!B20</f>
        <v>M2: Team 10</v>
      </c>
      <c r="K23" s="3" t="s">
        <v>18</v>
      </c>
      <c r="L23" s="3" t="s">
        <v>24</v>
      </c>
      <c r="M23" s="3" t="s">
        <v>21</v>
      </c>
      <c r="N23" s="3" t="s">
        <v>94</v>
      </c>
      <c r="O23" s="3" t="s">
        <v>95</v>
      </c>
      <c r="Q23" s="21" t="str">
        <f>"M3: " &amp; Teams!B19</f>
        <v>M3: Team 9</v>
      </c>
      <c r="R23" s="3" t="s">
        <v>18</v>
      </c>
      <c r="S23" s="3" t="s">
        <v>24</v>
      </c>
      <c r="T23" s="3" t="s">
        <v>21</v>
      </c>
      <c r="U23" s="3" t="s">
        <v>94</v>
      </c>
      <c r="V23" s="3" t="s">
        <v>95</v>
      </c>
      <c r="X23" s="29"/>
      <c r="Y23" s="26"/>
      <c r="Z23" s="26"/>
      <c r="AA23" s="23" t="str">
        <f>Teams!E22</f>
        <v>T12P3</v>
      </c>
      <c r="AB23" s="23">
        <f t="shared" si="13"/>
        <v>0</v>
      </c>
      <c r="AC23" s="26"/>
      <c r="AD23" s="26"/>
    </row>
    <row r="24">
      <c r="C24" s="3" t="str">
        <f>Teams!C22</f>
        <v>T12P1</v>
      </c>
      <c r="D24" s="3"/>
      <c r="E24" s="5"/>
      <c r="F24" s="5"/>
      <c r="G24" s="5"/>
      <c r="H24" s="5">
        <f t="shared" ref="H24:H27" si="14">SUM(D24:G24)</f>
        <v>0</v>
      </c>
      <c r="J24" s="3" t="str">
        <f>Teams!C22</f>
        <v>T12P1</v>
      </c>
      <c r="K24" s="3"/>
      <c r="L24" s="5"/>
      <c r="M24" s="5"/>
      <c r="N24" s="5"/>
      <c r="O24" s="5">
        <f t="shared" ref="O24:O27" si="15">SUM(K24:N24)</f>
        <v>0</v>
      </c>
      <c r="Q24" s="3" t="str">
        <f>Teams!C22</f>
        <v>T12P1</v>
      </c>
      <c r="R24" s="3"/>
      <c r="S24" s="5"/>
      <c r="T24" s="5"/>
      <c r="U24" s="5"/>
      <c r="V24" s="5">
        <f t="shared" ref="V24:V27" si="16">SUM(R24:U24)</f>
        <v>0</v>
      </c>
      <c r="X24" s="28"/>
      <c r="Y24" s="26"/>
      <c r="Z24" s="26"/>
      <c r="AA24" s="23" t="str">
        <f>Teams!F22</f>
        <v>T12P4</v>
      </c>
      <c r="AB24" s="23">
        <f t="shared" si="13"/>
        <v>0</v>
      </c>
      <c r="AC24" s="26"/>
      <c r="AD24" s="26"/>
    </row>
    <row r="25">
      <c r="C25" s="3" t="str">
        <f>Teams!D22</f>
        <v>T12P2</v>
      </c>
      <c r="D25" s="5"/>
      <c r="E25" s="5"/>
      <c r="F25" s="5"/>
      <c r="G25" s="5"/>
      <c r="H25" s="5">
        <f t="shared" si="14"/>
        <v>0</v>
      </c>
      <c r="J25" s="3" t="str">
        <f>Teams!D22</f>
        <v>T12P2</v>
      </c>
      <c r="K25" s="5"/>
      <c r="L25" s="5"/>
      <c r="M25" s="5"/>
      <c r="N25" s="5"/>
      <c r="O25" s="5">
        <f t="shared" si="15"/>
        <v>0</v>
      </c>
      <c r="Q25" s="3" t="str">
        <f>Teams!D22</f>
        <v>T12P2</v>
      </c>
      <c r="R25" s="5"/>
      <c r="S25" s="5"/>
      <c r="T25" s="5"/>
      <c r="U25" s="5"/>
      <c r="V25" s="5">
        <f t="shared" si="16"/>
        <v>0</v>
      </c>
      <c r="X25" s="29"/>
      <c r="Y25" s="26"/>
      <c r="Z25" s="26"/>
      <c r="AA25" s="26"/>
      <c r="AB25" s="26"/>
      <c r="AC25" s="26"/>
      <c r="AD25" s="26"/>
    </row>
    <row r="26">
      <c r="C26" s="3" t="str">
        <f>Teams!E22</f>
        <v>T12P3</v>
      </c>
      <c r="D26" s="5"/>
      <c r="E26" s="5"/>
      <c r="F26" s="5"/>
      <c r="G26" s="5"/>
      <c r="H26" s="5">
        <f t="shared" si="14"/>
        <v>0</v>
      </c>
      <c r="J26" s="3" t="str">
        <f>Teams!E22</f>
        <v>T12P3</v>
      </c>
      <c r="K26" s="5"/>
      <c r="L26" s="5"/>
      <c r="M26" s="5"/>
      <c r="N26" s="5"/>
      <c r="O26" s="5">
        <f t="shared" si="15"/>
        <v>0</v>
      </c>
      <c r="Q26" s="3" t="str">
        <f>Teams!E22</f>
        <v>T12P3</v>
      </c>
      <c r="R26" s="5"/>
      <c r="S26" s="5"/>
      <c r="T26" s="5"/>
      <c r="U26" s="5"/>
      <c r="V26" s="5">
        <f t="shared" si="16"/>
        <v>0</v>
      </c>
      <c r="X26" s="28"/>
      <c r="Y26" s="26"/>
      <c r="Z26" s="26"/>
      <c r="AA26" s="26"/>
      <c r="AB26" s="26"/>
      <c r="AC26" s="26"/>
      <c r="AD26" s="26"/>
    </row>
    <row r="27">
      <c r="C27" s="3" t="str">
        <f>Teams!F22</f>
        <v>T12P4</v>
      </c>
      <c r="D27" s="5"/>
      <c r="E27" s="5"/>
      <c r="F27" s="5"/>
      <c r="G27" s="5"/>
      <c r="H27" s="5">
        <f t="shared" si="14"/>
        <v>0</v>
      </c>
      <c r="J27" s="3" t="str">
        <f>Teams!F22</f>
        <v>T12P4</v>
      </c>
      <c r="K27" s="5"/>
      <c r="L27" s="5"/>
      <c r="M27" s="5"/>
      <c r="N27" s="5"/>
      <c r="O27" s="5">
        <f t="shared" si="15"/>
        <v>0</v>
      </c>
      <c r="Q27" s="3" t="str">
        <f>Teams!F22</f>
        <v>T12P4</v>
      </c>
      <c r="R27" s="5"/>
      <c r="S27" s="5"/>
      <c r="T27" s="5"/>
      <c r="U27" s="5"/>
      <c r="V27" s="5">
        <f t="shared" si="16"/>
        <v>0</v>
      </c>
      <c r="X27" s="29"/>
      <c r="Y27" s="26"/>
      <c r="Z27" s="26"/>
      <c r="AA27" s="26"/>
      <c r="AB27" s="26"/>
      <c r="AC27" s="26"/>
      <c r="AD27" s="26"/>
    </row>
    <row r="28">
      <c r="H28" s="5"/>
      <c r="O28" s="5"/>
      <c r="V28" s="5"/>
      <c r="X28" s="28"/>
      <c r="Y28" s="26"/>
      <c r="Z28" s="26"/>
      <c r="AA28" s="26"/>
      <c r="AB28" s="26"/>
      <c r="AC28" s="26"/>
      <c r="AD28" s="26"/>
    </row>
    <row r="29">
      <c r="H29" s="5"/>
      <c r="O29" s="5"/>
      <c r="V29" s="5"/>
      <c r="X29" s="29"/>
      <c r="Y29" s="26"/>
      <c r="Z29" s="26"/>
      <c r="AA29" s="26"/>
      <c r="AB29" s="26"/>
      <c r="AC29" s="26"/>
      <c r="AD29" s="26"/>
    </row>
    <row r="30">
      <c r="H30" s="5"/>
      <c r="O30" s="5"/>
      <c r="V30" s="5"/>
      <c r="X30" s="28"/>
      <c r="Y30" s="26"/>
      <c r="Z30" s="26"/>
      <c r="AA30" s="26"/>
      <c r="AB30" s="26"/>
      <c r="AC30" s="26"/>
      <c r="AD30" s="26"/>
    </row>
    <row r="31">
      <c r="H31" s="5"/>
      <c r="O31" s="5"/>
      <c r="V31" s="5"/>
      <c r="X31" s="29"/>
      <c r="Y31" s="26"/>
      <c r="Z31" s="26"/>
      <c r="AA31" s="26"/>
      <c r="AB31" s="26"/>
      <c r="AC31" s="26"/>
      <c r="AD31" s="26"/>
    </row>
    <row r="32">
      <c r="H32" s="5"/>
      <c r="O32" s="5"/>
      <c r="V32" s="5"/>
      <c r="X32" s="28"/>
      <c r="Y32" s="26"/>
      <c r="Z32" s="26"/>
      <c r="AA32" s="26"/>
      <c r="AB32" s="26"/>
      <c r="AC32" s="26"/>
      <c r="AD32" s="26"/>
    </row>
    <row r="33">
      <c r="H33" s="5"/>
      <c r="O33" s="5"/>
      <c r="V33" s="5"/>
      <c r="X33" s="29"/>
      <c r="Y33" s="26"/>
      <c r="Z33" s="26"/>
      <c r="AA33" s="26"/>
      <c r="AB33" s="26"/>
      <c r="AC33" s="26"/>
      <c r="AD33" s="26"/>
    </row>
    <row r="34">
      <c r="H34" s="5"/>
      <c r="O34" s="5"/>
      <c r="V34" s="5"/>
      <c r="X34" s="28"/>
      <c r="Y34" s="26"/>
      <c r="Z34" s="26"/>
      <c r="AA34" s="26"/>
      <c r="AB34" s="26"/>
      <c r="AC34" s="26"/>
      <c r="AD34" s="26"/>
    </row>
    <row r="35">
      <c r="H35" s="5"/>
      <c r="O35" s="5"/>
      <c r="V35" s="5"/>
      <c r="X35" s="29"/>
      <c r="Y35" s="26"/>
      <c r="Z35" s="26"/>
      <c r="AA35" s="26"/>
      <c r="AB35" s="26"/>
      <c r="AC35" s="26"/>
      <c r="AD35" s="26"/>
    </row>
    <row r="36">
      <c r="H36" s="5"/>
      <c r="O36" s="5"/>
      <c r="V36" s="5"/>
      <c r="X36" s="28"/>
      <c r="Y36" s="26"/>
      <c r="Z36" s="26"/>
      <c r="AA36" s="26"/>
      <c r="AB36" s="26"/>
      <c r="AC36" s="26"/>
      <c r="AD36" s="26"/>
    </row>
    <row r="37">
      <c r="H37" s="5"/>
      <c r="O37" s="5"/>
      <c r="V37" s="5"/>
      <c r="X37" s="29"/>
      <c r="Y37" s="26"/>
      <c r="Z37" s="26"/>
      <c r="AA37" s="26"/>
      <c r="AB37" s="26"/>
      <c r="AC37" s="26"/>
      <c r="AD37" s="26"/>
    </row>
    <row r="38">
      <c r="H38" s="5"/>
      <c r="O38" s="5"/>
      <c r="V38" s="5"/>
      <c r="X38" s="28"/>
      <c r="Y38" s="26"/>
      <c r="Z38" s="26"/>
      <c r="AA38" s="26"/>
      <c r="AB38" s="26"/>
      <c r="AC38" s="26"/>
      <c r="AD38" s="26"/>
    </row>
    <row r="39">
      <c r="H39" s="5"/>
      <c r="O39" s="5"/>
      <c r="V39" s="5"/>
      <c r="X39" s="29"/>
      <c r="Y39" s="26"/>
      <c r="Z39" s="26"/>
      <c r="AA39" s="26"/>
      <c r="AB39" s="26"/>
      <c r="AC39" s="26"/>
      <c r="AD39" s="26"/>
    </row>
    <row r="40">
      <c r="H40" s="5"/>
      <c r="O40" s="5"/>
      <c r="V40" s="5"/>
      <c r="X40" s="28"/>
      <c r="Y40" s="26"/>
      <c r="Z40" s="26"/>
      <c r="AA40" s="26"/>
      <c r="AB40" s="26"/>
      <c r="AC40" s="26"/>
      <c r="AD40" s="26"/>
    </row>
    <row r="41">
      <c r="H41" s="5"/>
      <c r="O41" s="5"/>
      <c r="V41" s="5"/>
      <c r="X41" s="29"/>
      <c r="Y41" s="26"/>
      <c r="Z41" s="26"/>
      <c r="AA41" s="26"/>
      <c r="AB41" s="26"/>
      <c r="AC41" s="26"/>
      <c r="AD41" s="26"/>
    </row>
    <row r="42">
      <c r="H42" s="5"/>
      <c r="O42" s="5"/>
      <c r="V42" s="5"/>
      <c r="X42" s="28"/>
      <c r="Y42" s="26"/>
      <c r="Z42" s="26"/>
      <c r="AA42" s="26"/>
      <c r="AB42" s="26"/>
      <c r="AC42" s="26"/>
      <c r="AD42" s="26"/>
    </row>
    <row r="43">
      <c r="H43" s="5"/>
      <c r="O43" s="5"/>
      <c r="V43" s="5"/>
      <c r="X43" s="29"/>
      <c r="Y43" s="26"/>
      <c r="Z43" s="26"/>
      <c r="AA43" s="26"/>
      <c r="AB43" s="26"/>
      <c r="AC43" s="26"/>
      <c r="AD43" s="26"/>
    </row>
    <row r="44">
      <c r="H44" s="5"/>
      <c r="O44" s="5"/>
      <c r="V44" s="5"/>
      <c r="X44" s="28"/>
      <c r="Y44" s="26"/>
      <c r="Z44" s="26"/>
      <c r="AA44" s="26"/>
      <c r="AB44" s="26"/>
      <c r="AC44" s="26"/>
      <c r="AD44" s="26"/>
    </row>
    <row r="45">
      <c r="H45" s="5"/>
      <c r="O45" s="5"/>
      <c r="V45" s="5"/>
      <c r="X45" s="29"/>
      <c r="Y45" s="26"/>
      <c r="Z45" s="26"/>
      <c r="AA45" s="26"/>
      <c r="AB45" s="26"/>
      <c r="AC45" s="26"/>
      <c r="AD45" s="26"/>
    </row>
    <row r="46">
      <c r="H46" s="5"/>
      <c r="O46" s="5"/>
      <c r="V46" s="5"/>
      <c r="X46" s="28"/>
      <c r="Y46" s="26"/>
      <c r="Z46" s="26"/>
      <c r="AA46" s="26"/>
      <c r="AB46" s="26"/>
      <c r="AC46" s="26"/>
      <c r="AD46" s="26"/>
    </row>
    <row r="47">
      <c r="H47" s="5"/>
      <c r="O47" s="5"/>
      <c r="V47" s="5"/>
      <c r="X47" s="29"/>
      <c r="Y47" s="26"/>
      <c r="Z47" s="26"/>
      <c r="AA47" s="26"/>
      <c r="AB47" s="26"/>
      <c r="AC47" s="26"/>
      <c r="AD47" s="26"/>
    </row>
    <row r="48">
      <c r="H48" s="5"/>
      <c r="O48" s="5"/>
      <c r="V48" s="5"/>
      <c r="X48" s="28"/>
      <c r="Y48" s="26"/>
      <c r="Z48" s="26"/>
      <c r="AA48" s="26"/>
      <c r="AB48" s="26"/>
      <c r="AC48" s="26"/>
      <c r="AD48" s="26"/>
    </row>
    <row r="49">
      <c r="H49" s="5"/>
      <c r="O49" s="5"/>
      <c r="V49" s="5"/>
      <c r="X49" s="29"/>
      <c r="Y49" s="26"/>
      <c r="Z49" s="26"/>
      <c r="AA49" s="26"/>
      <c r="AB49" s="26"/>
      <c r="AC49" s="26"/>
      <c r="AD49" s="26"/>
    </row>
    <row r="50">
      <c r="H50" s="5"/>
      <c r="O50" s="5"/>
      <c r="V50" s="5"/>
      <c r="X50" s="28"/>
      <c r="Y50" s="26"/>
      <c r="Z50" s="26"/>
      <c r="AA50" s="26"/>
      <c r="AB50" s="26"/>
      <c r="AC50" s="26"/>
      <c r="AD50" s="26"/>
    </row>
    <row r="51">
      <c r="H51" s="5"/>
      <c r="O51" s="5"/>
      <c r="V51" s="5"/>
      <c r="X51" s="29"/>
      <c r="Y51" s="26"/>
      <c r="Z51" s="26"/>
      <c r="AA51" s="26"/>
      <c r="AB51" s="26"/>
      <c r="AC51" s="26"/>
      <c r="AD51" s="26"/>
    </row>
    <row r="52">
      <c r="H52" s="5"/>
      <c r="O52" s="5"/>
      <c r="V52" s="5"/>
      <c r="X52" s="28"/>
      <c r="Y52" s="26"/>
      <c r="Z52" s="26"/>
      <c r="AA52" s="26"/>
      <c r="AB52" s="26"/>
      <c r="AC52" s="26"/>
      <c r="AD52" s="26"/>
    </row>
    <row r="53">
      <c r="H53" s="5"/>
      <c r="O53" s="5"/>
      <c r="V53" s="5"/>
      <c r="X53" s="29"/>
      <c r="Y53" s="26"/>
      <c r="Z53" s="26"/>
      <c r="AA53" s="26"/>
      <c r="AB53" s="26"/>
      <c r="AC53" s="26"/>
      <c r="AD53" s="26"/>
    </row>
    <row r="54">
      <c r="H54" s="5"/>
      <c r="O54" s="5"/>
      <c r="V54" s="5"/>
      <c r="X54" s="28"/>
      <c r="Y54" s="26"/>
      <c r="Z54" s="26"/>
      <c r="AA54" s="26"/>
      <c r="AB54" s="26"/>
      <c r="AC54" s="26"/>
      <c r="AD54" s="26"/>
    </row>
    <row r="55">
      <c r="H55" s="5"/>
      <c r="O55" s="5"/>
      <c r="V55" s="5"/>
      <c r="X55" s="29"/>
      <c r="Y55" s="26"/>
      <c r="Z55" s="26"/>
      <c r="AA55" s="26"/>
      <c r="AB55" s="26"/>
      <c r="AC55" s="26"/>
      <c r="AD55" s="26"/>
    </row>
    <row r="56">
      <c r="H56" s="5"/>
      <c r="O56" s="5"/>
      <c r="V56" s="5"/>
      <c r="X56" s="28"/>
      <c r="Y56" s="26"/>
      <c r="Z56" s="26"/>
      <c r="AA56" s="26"/>
      <c r="AB56" s="26"/>
      <c r="AC56" s="26"/>
      <c r="AD56" s="26"/>
    </row>
    <row r="57">
      <c r="H57" s="5"/>
      <c r="O57" s="5"/>
      <c r="V57" s="5"/>
      <c r="X57" s="29"/>
      <c r="Y57" s="26"/>
      <c r="Z57" s="26"/>
      <c r="AA57" s="26"/>
      <c r="AB57" s="26"/>
      <c r="AC57" s="26"/>
      <c r="AD57" s="26"/>
    </row>
    <row r="58">
      <c r="H58" s="5"/>
      <c r="O58" s="5"/>
      <c r="V58" s="5"/>
      <c r="X58" s="28"/>
      <c r="Y58" s="26"/>
      <c r="Z58" s="26"/>
      <c r="AA58" s="26"/>
      <c r="AB58" s="26"/>
      <c r="AC58" s="26"/>
      <c r="AD58" s="26"/>
    </row>
    <row r="59">
      <c r="H59" s="5"/>
      <c r="O59" s="5"/>
      <c r="V59" s="5"/>
      <c r="X59" s="29"/>
      <c r="Y59" s="26"/>
      <c r="Z59" s="26"/>
      <c r="AA59" s="26"/>
      <c r="AB59" s="26"/>
      <c r="AC59" s="26"/>
      <c r="AD59" s="26"/>
    </row>
    <row r="60">
      <c r="H60" s="5"/>
      <c r="O60" s="5"/>
      <c r="V60" s="5"/>
      <c r="X60" s="28"/>
      <c r="Y60" s="26"/>
      <c r="Z60" s="26"/>
      <c r="AA60" s="26"/>
      <c r="AB60" s="26"/>
      <c r="AC60" s="26"/>
      <c r="AD60" s="26"/>
    </row>
    <row r="61">
      <c r="H61" s="5"/>
      <c r="O61" s="5"/>
      <c r="V61" s="5"/>
      <c r="X61" s="29"/>
      <c r="Y61" s="26"/>
      <c r="Z61" s="26"/>
      <c r="AA61" s="26"/>
      <c r="AB61" s="26"/>
      <c r="AC61" s="26"/>
      <c r="AD61" s="26"/>
    </row>
    <row r="62">
      <c r="H62" s="5"/>
      <c r="O62" s="5"/>
      <c r="V62" s="5"/>
      <c r="X62" s="28"/>
      <c r="Y62" s="26"/>
      <c r="Z62" s="26"/>
      <c r="AA62" s="26"/>
      <c r="AB62" s="26"/>
      <c r="AC62" s="26"/>
      <c r="AD62" s="26"/>
    </row>
    <row r="63">
      <c r="H63" s="5"/>
      <c r="O63" s="5"/>
      <c r="V63" s="5"/>
      <c r="X63" s="29"/>
      <c r="Y63" s="26"/>
      <c r="Z63" s="26"/>
      <c r="AA63" s="26"/>
      <c r="AB63" s="26"/>
      <c r="AC63" s="26"/>
      <c r="AD63" s="26"/>
    </row>
    <row r="64">
      <c r="H64" s="5"/>
      <c r="O64" s="5"/>
      <c r="V64" s="5"/>
      <c r="X64" s="28"/>
      <c r="Y64" s="26"/>
      <c r="Z64" s="26"/>
      <c r="AA64" s="26"/>
      <c r="AB64" s="26"/>
      <c r="AC64" s="26"/>
      <c r="AD64" s="26"/>
    </row>
    <row r="65">
      <c r="H65" s="5"/>
      <c r="O65" s="5"/>
      <c r="V65" s="5"/>
      <c r="X65" s="29"/>
      <c r="Y65" s="26"/>
      <c r="Z65" s="26"/>
      <c r="AA65" s="26"/>
      <c r="AB65" s="26"/>
      <c r="AC65" s="26"/>
      <c r="AD65" s="26"/>
    </row>
    <row r="66">
      <c r="H66" s="5"/>
      <c r="O66" s="5"/>
      <c r="V66" s="5"/>
      <c r="X66" s="28"/>
      <c r="Y66" s="26"/>
      <c r="Z66" s="26"/>
      <c r="AA66" s="26"/>
      <c r="AB66" s="26"/>
      <c r="AC66" s="26"/>
      <c r="AD66" s="26"/>
    </row>
    <row r="67">
      <c r="H67" s="5"/>
      <c r="O67" s="5"/>
      <c r="V67" s="5"/>
      <c r="X67" s="29"/>
      <c r="Y67" s="26"/>
      <c r="Z67" s="26"/>
      <c r="AA67" s="26"/>
      <c r="AB67" s="26"/>
      <c r="AC67" s="26"/>
      <c r="AD67" s="26"/>
    </row>
    <row r="68">
      <c r="H68" s="5"/>
      <c r="O68" s="5"/>
      <c r="V68" s="5"/>
      <c r="X68" s="28"/>
      <c r="Y68" s="26"/>
      <c r="Z68" s="26"/>
      <c r="AA68" s="26"/>
      <c r="AB68" s="26"/>
      <c r="AC68" s="26"/>
      <c r="AD68" s="26"/>
    </row>
    <row r="69">
      <c r="H69" s="5"/>
      <c r="O69" s="5"/>
      <c r="V69" s="5"/>
      <c r="X69" s="29"/>
      <c r="Y69" s="26"/>
      <c r="Z69" s="26"/>
      <c r="AA69" s="26"/>
      <c r="AB69" s="26"/>
      <c r="AC69" s="26"/>
      <c r="AD69" s="26"/>
    </row>
    <row r="70">
      <c r="H70" s="5"/>
      <c r="O70" s="5"/>
      <c r="V70" s="5"/>
      <c r="X70" s="28"/>
      <c r="Y70" s="26"/>
      <c r="Z70" s="26"/>
      <c r="AA70" s="26"/>
      <c r="AB70" s="26"/>
      <c r="AC70" s="26"/>
      <c r="AD70" s="26"/>
    </row>
    <row r="71">
      <c r="H71" s="5"/>
      <c r="O71" s="5"/>
      <c r="V71" s="5"/>
      <c r="X71" s="29"/>
      <c r="Y71" s="26"/>
      <c r="Z71" s="26"/>
      <c r="AA71" s="26"/>
      <c r="AB71" s="26"/>
      <c r="AC71" s="26"/>
      <c r="AD71" s="26"/>
    </row>
    <row r="72">
      <c r="H72" s="5"/>
      <c r="O72" s="5"/>
      <c r="V72" s="5"/>
      <c r="X72" s="28"/>
      <c r="Y72" s="26"/>
      <c r="Z72" s="26"/>
      <c r="AA72" s="26"/>
      <c r="AB72" s="26"/>
      <c r="AC72" s="26"/>
      <c r="AD72" s="26"/>
    </row>
    <row r="73">
      <c r="H73" s="5"/>
      <c r="O73" s="5"/>
      <c r="V73" s="5"/>
      <c r="X73" s="29"/>
      <c r="Y73" s="26"/>
      <c r="Z73" s="26"/>
      <c r="AA73" s="26"/>
      <c r="AB73" s="26"/>
      <c r="AC73" s="26"/>
      <c r="AD73" s="26"/>
    </row>
    <row r="74">
      <c r="H74" s="5"/>
      <c r="O74" s="5"/>
      <c r="V74" s="5"/>
      <c r="X74" s="28"/>
      <c r="Y74" s="26"/>
      <c r="Z74" s="26"/>
      <c r="AA74" s="26"/>
      <c r="AB74" s="26"/>
      <c r="AC74" s="26"/>
      <c r="AD74" s="26"/>
    </row>
    <row r="75">
      <c r="H75" s="5"/>
      <c r="O75" s="5"/>
      <c r="V75" s="5"/>
      <c r="X75" s="29"/>
      <c r="Y75" s="26"/>
      <c r="Z75" s="26"/>
      <c r="AA75" s="26"/>
      <c r="AB75" s="26"/>
      <c r="AC75" s="26"/>
      <c r="AD75" s="26"/>
    </row>
    <row r="76">
      <c r="H76" s="5"/>
      <c r="O76" s="5"/>
      <c r="V76" s="5"/>
      <c r="X76" s="28"/>
      <c r="Y76" s="26"/>
      <c r="Z76" s="26"/>
      <c r="AA76" s="26"/>
      <c r="AB76" s="26"/>
      <c r="AC76" s="26"/>
      <c r="AD76" s="26"/>
    </row>
    <row r="77">
      <c r="H77" s="5"/>
      <c r="O77" s="5"/>
      <c r="V77" s="5"/>
      <c r="X77" s="29"/>
      <c r="Y77" s="26"/>
      <c r="Z77" s="26"/>
      <c r="AA77" s="26"/>
      <c r="AB77" s="26"/>
      <c r="AC77" s="26"/>
      <c r="AD77" s="26"/>
    </row>
    <row r="78">
      <c r="H78" s="5"/>
      <c r="O78" s="5"/>
      <c r="V78" s="5"/>
      <c r="X78" s="28"/>
      <c r="Y78" s="26"/>
      <c r="Z78" s="26"/>
      <c r="AA78" s="26"/>
      <c r="AB78" s="26"/>
      <c r="AC78" s="26"/>
      <c r="AD78" s="26"/>
    </row>
    <row r="79">
      <c r="H79" s="5"/>
      <c r="O79" s="5"/>
      <c r="V79" s="5"/>
      <c r="X79" s="29"/>
      <c r="Y79" s="26"/>
      <c r="Z79" s="26"/>
      <c r="AA79" s="26"/>
      <c r="AB79" s="26"/>
      <c r="AC79" s="26"/>
      <c r="AD79" s="26"/>
    </row>
    <row r="80">
      <c r="H80" s="5"/>
      <c r="O80" s="5"/>
      <c r="V80" s="5"/>
      <c r="X80" s="28"/>
      <c r="Y80" s="26"/>
      <c r="Z80" s="26"/>
      <c r="AA80" s="26"/>
      <c r="AB80" s="26"/>
      <c r="AC80" s="26"/>
      <c r="AD80" s="26"/>
    </row>
    <row r="81">
      <c r="H81" s="5"/>
      <c r="O81" s="5"/>
      <c r="V81" s="5"/>
      <c r="X81" s="29"/>
      <c r="Y81" s="26"/>
      <c r="Z81" s="26"/>
      <c r="AA81" s="26"/>
      <c r="AB81" s="26"/>
      <c r="AC81" s="26"/>
      <c r="AD81" s="26"/>
    </row>
    <row r="82">
      <c r="H82" s="5"/>
      <c r="O82" s="5"/>
      <c r="V82" s="5"/>
      <c r="X82" s="28"/>
      <c r="Y82" s="26"/>
      <c r="Z82" s="26"/>
      <c r="AA82" s="26"/>
      <c r="AB82" s="26"/>
      <c r="AC82" s="26"/>
      <c r="AD82" s="26"/>
    </row>
    <row r="83">
      <c r="H83" s="5"/>
      <c r="O83" s="5"/>
      <c r="V83" s="5"/>
      <c r="X83" s="29"/>
      <c r="Y83" s="26"/>
      <c r="Z83" s="26"/>
      <c r="AA83" s="26"/>
      <c r="AB83" s="26"/>
      <c r="AC83" s="26"/>
      <c r="AD83" s="26"/>
    </row>
    <row r="84">
      <c r="H84" s="5"/>
      <c r="O84" s="5"/>
      <c r="V84" s="5"/>
      <c r="X84" s="28"/>
      <c r="Y84" s="26"/>
      <c r="Z84" s="26"/>
      <c r="AA84" s="26"/>
      <c r="AB84" s="26"/>
      <c r="AC84" s="26"/>
      <c r="AD84" s="26"/>
    </row>
    <row r="85">
      <c r="H85" s="5"/>
      <c r="O85" s="5"/>
      <c r="V85" s="5"/>
      <c r="X85" s="29"/>
      <c r="Y85" s="26"/>
      <c r="Z85" s="26"/>
      <c r="AA85" s="26"/>
      <c r="AB85" s="26"/>
      <c r="AC85" s="26"/>
      <c r="AD85" s="26"/>
    </row>
    <row r="86">
      <c r="H86" s="5"/>
      <c r="O86" s="5"/>
      <c r="V86" s="5"/>
      <c r="X86" s="28"/>
      <c r="Y86" s="26"/>
      <c r="Z86" s="26"/>
      <c r="AA86" s="26"/>
      <c r="AB86" s="26"/>
      <c r="AC86" s="26"/>
      <c r="AD86" s="26"/>
    </row>
    <row r="87">
      <c r="H87" s="5"/>
      <c r="O87" s="5"/>
      <c r="V87" s="5"/>
      <c r="X87" s="29"/>
      <c r="Y87" s="26"/>
      <c r="Z87" s="26"/>
      <c r="AA87" s="26"/>
      <c r="AB87" s="26"/>
      <c r="AC87" s="26"/>
      <c r="AD87" s="26"/>
    </row>
    <row r="88">
      <c r="H88" s="5"/>
      <c r="O88" s="5"/>
      <c r="V88" s="5"/>
      <c r="X88" s="28"/>
      <c r="Y88" s="26"/>
      <c r="Z88" s="26"/>
      <c r="AA88" s="26"/>
      <c r="AB88" s="26"/>
      <c r="AC88" s="26"/>
      <c r="AD88" s="26"/>
    </row>
    <row r="89">
      <c r="H89" s="5"/>
      <c r="O89" s="5"/>
      <c r="V89" s="5"/>
      <c r="X89" s="29"/>
      <c r="Y89" s="26"/>
      <c r="Z89" s="26"/>
      <c r="AA89" s="26"/>
      <c r="AB89" s="26"/>
      <c r="AC89" s="26"/>
      <c r="AD89" s="26"/>
    </row>
    <row r="90">
      <c r="H90" s="5"/>
      <c r="O90" s="5"/>
      <c r="V90" s="5"/>
      <c r="X90" s="28"/>
      <c r="Y90" s="26"/>
      <c r="Z90" s="26"/>
      <c r="AA90" s="26"/>
      <c r="AB90" s="26"/>
      <c r="AC90" s="26"/>
      <c r="AD90" s="26"/>
    </row>
    <row r="91">
      <c r="H91" s="5"/>
      <c r="O91" s="5"/>
      <c r="V91" s="5"/>
      <c r="X91" s="29"/>
      <c r="Y91" s="26"/>
      <c r="Z91" s="26"/>
      <c r="AA91" s="26"/>
      <c r="AB91" s="26"/>
      <c r="AC91" s="26"/>
      <c r="AD91" s="26"/>
    </row>
    <row r="92">
      <c r="H92" s="5"/>
      <c r="O92" s="5"/>
      <c r="V92" s="5"/>
      <c r="X92" s="28"/>
      <c r="Y92" s="26"/>
      <c r="Z92" s="26"/>
      <c r="AA92" s="26"/>
      <c r="AB92" s="26"/>
      <c r="AC92" s="26"/>
      <c r="AD92" s="26"/>
    </row>
    <row r="93">
      <c r="H93" s="5"/>
      <c r="O93" s="5"/>
      <c r="V93" s="5"/>
      <c r="X93" s="29"/>
      <c r="Y93" s="26"/>
      <c r="Z93" s="26"/>
      <c r="AA93" s="26"/>
      <c r="AB93" s="26"/>
      <c r="AC93" s="26"/>
      <c r="AD93" s="26"/>
    </row>
    <row r="94">
      <c r="H94" s="5"/>
      <c r="O94" s="5"/>
      <c r="V94" s="5"/>
      <c r="X94" s="28"/>
      <c r="Y94" s="26"/>
      <c r="Z94" s="26"/>
      <c r="AA94" s="26"/>
      <c r="AB94" s="26"/>
      <c r="AC94" s="26"/>
      <c r="AD94" s="26"/>
    </row>
    <row r="95">
      <c r="H95" s="5"/>
      <c r="O95" s="5"/>
      <c r="V95" s="5"/>
      <c r="X95" s="29"/>
      <c r="Y95" s="26"/>
      <c r="Z95" s="26"/>
      <c r="AA95" s="26"/>
      <c r="AB95" s="26"/>
      <c r="AC95" s="26"/>
      <c r="AD95" s="26"/>
    </row>
    <row r="96">
      <c r="H96" s="5"/>
      <c r="O96" s="5"/>
      <c r="V96" s="5"/>
      <c r="X96" s="28"/>
      <c r="Y96" s="26"/>
      <c r="Z96" s="26"/>
      <c r="AA96" s="26"/>
      <c r="AB96" s="26"/>
      <c r="AC96" s="26"/>
      <c r="AD96" s="26"/>
    </row>
    <row r="97">
      <c r="H97" s="5"/>
      <c r="O97" s="5"/>
      <c r="V97" s="5"/>
      <c r="X97" s="29"/>
      <c r="Y97" s="26"/>
      <c r="Z97" s="26"/>
      <c r="AA97" s="26"/>
      <c r="AB97" s="26"/>
      <c r="AC97" s="26"/>
      <c r="AD97" s="26"/>
    </row>
    <row r="98">
      <c r="H98" s="5"/>
      <c r="O98" s="5"/>
      <c r="V98" s="5"/>
      <c r="X98" s="28"/>
      <c r="Y98" s="26"/>
      <c r="Z98" s="26"/>
      <c r="AA98" s="26"/>
      <c r="AB98" s="26"/>
      <c r="AC98" s="26"/>
      <c r="AD98" s="26"/>
    </row>
    <row r="99">
      <c r="H99" s="5"/>
      <c r="O99" s="5"/>
      <c r="V99" s="5"/>
      <c r="X99" s="29"/>
      <c r="Y99" s="26"/>
      <c r="Z99" s="26"/>
      <c r="AA99" s="26"/>
      <c r="AB99" s="26"/>
      <c r="AC99" s="26"/>
      <c r="AD99" s="26"/>
    </row>
    <row r="100">
      <c r="H100" s="5"/>
      <c r="O100" s="5"/>
      <c r="V100" s="5"/>
      <c r="X100" s="28"/>
      <c r="Y100" s="26"/>
      <c r="Z100" s="26"/>
      <c r="AA100" s="26"/>
      <c r="AB100" s="26"/>
      <c r="AC100" s="26"/>
      <c r="AD100" s="26"/>
    </row>
    <row r="101">
      <c r="H101" s="5"/>
      <c r="O101" s="5"/>
      <c r="V101" s="5"/>
      <c r="X101" s="29"/>
      <c r="Y101" s="26"/>
      <c r="Z101" s="26"/>
      <c r="AA101" s="26"/>
      <c r="AB101" s="26"/>
      <c r="AC101" s="26"/>
      <c r="AD101" s="26"/>
    </row>
    <row r="102">
      <c r="H102" s="5"/>
      <c r="O102" s="5"/>
      <c r="V102" s="5"/>
      <c r="X102" s="28"/>
      <c r="Y102" s="26"/>
      <c r="Z102" s="26"/>
      <c r="AA102" s="26"/>
      <c r="AB102" s="26"/>
      <c r="AC102" s="26"/>
      <c r="AD102" s="26"/>
    </row>
    <row r="103">
      <c r="H103" s="5"/>
      <c r="O103" s="5"/>
      <c r="V103" s="5"/>
      <c r="X103" s="29"/>
      <c r="Y103" s="26"/>
      <c r="Z103" s="26"/>
      <c r="AA103" s="26"/>
      <c r="AB103" s="26"/>
      <c r="AC103" s="26"/>
      <c r="AD103" s="26"/>
    </row>
    <row r="104">
      <c r="H104" s="5"/>
      <c r="O104" s="5"/>
      <c r="V104" s="5"/>
      <c r="X104" s="28"/>
      <c r="Y104" s="26"/>
      <c r="Z104" s="26"/>
      <c r="AA104" s="26"/>
      <c r="AB104" s="26"/>
      <c r="AC104" s="26"/>
      <c r="AD104" s="26"/>
    </row>
    <row r="105">
      <c r="H105" s="5"/>
      <c r="O105" s="5"/>
      <c r="V105" s="5"/>
      <c r="X105" s="29"/>
      <c r="Y105" s="26"/>
      <c r="Z105" s="26"/>
      <c r="AA105" s="26"/>
      <c r="AB105" s="26"/>
      <c r="AC105" s="26"/>
      <c r="AD105" s="26"/>
    </row>
    <row r="106">
      <c r="H106" s="5"/>
      <c r="O106" s="5"/>
      <c r="V106" s="5"/>
      <c r="X106" s="28"/>
      <c r="Y106" s="26"/>
      <c r="Z106" s="26"/>
      <c r="AA106" s="26"/>
      <c r="AB106" s="26"/>
      <c r="AC106" s="26"/>
      <c r="AD106" s="26"/>
    </row>
    <row r="107">
      <c r="H107" s="5"/>
      <c r="O107" s="5"/>
      <c r="V107" s="5"/>
      <c r="X107" s="29"/>
      <c r="Y107" s="26"/>
      <c r="Z107" s="26"/>
      <c r="AA107" s="26"/>
      <c r="AB107" s="26"/>
      <c r="AC107" s="26"/>
      <c r="AD107" s="26"/>
    </row>
    <row r="108">
      <c r="H108" s="5"/>
      <c r="O108" s="5"/>
      <c r="V108" s="5"/>
      <c r="X108" s="28"/>
      <c r="Y108" s="26"/>
      <c r="Z108" s="26"/>
      <c r="AA108" s="26"/>
      <c r="AB108" s="26"/>
      <c r="AC108" s="26"/>
      <c r="AD108" s="26"/>
    </row>
    <row r="109">
      <c r="H109" s="5"/>
      <c r="O109" s="5"/>
      <c r="V109" s="5"/>
      <c r="X109" s="29"/>
      <c r="Y109" s="26"/>
      <c r="Z109" s="26"/>
      <c r="AA109" s="26"/>
      <c r="AB109" s="26"/>
      <c r="AC109" s="26"/>
      <c r="AD109" s="26"/>
    </row>
    <row r="110">
      <c r="H110" s="5"/>
      <c r="O110" s="5"/>
      <c r="V110" s="5"/>
      <c r="X110" s="28"/>
      <c r="Y110" s="26"/>
      <c r="Z110" s="26"/>
      <c r="AA110" s="26"/>
      <c r="AB110" s="26"/>
      <c r="AC110" s="26"/>
      <c r="AD110" s="26"/>
    </row>
    <row r="111">
      <c r="H111" s="5"/>
      <c r="O111" s="5"/>
      <c r="V111" s="5"/>
      <c r="X111" s="29"/>
      <c r="Y111" s="26"/>
      <c r="Z111" s="26"/>
      <c r="AA111" s="26"/>
      <c r="AB111" s="26"/>
      <c r="AC111" s="26"/>
      <c r="AD111" s="26"/>
    </row>
    <row r="112">
      <c r="H112" s="5"/>
      <c r="O112" s="5"/>
      <c r="V112" s="5"/>
      <c r="X112" s="28"/>
      <c r="Y112" s="26"/>
      <c r="Z112" s="26"/>
      <c r="AA112" s="26"/>
      <c r="AB112" s="26"/>
      <c r="AC112" s="26"/>
      <c r="AD112" s="26"/>
    </row>
    <row r="113">
      <c r="H113" s="5"/>
      <c r="O113" s="5"/>
      <c r="V113" s="5"/>
      <c r="X113" s="29"/>
      <c r="Y113" s="26"/>
      <c r="Z113" s="26"/>
      <c r="AA113" s="26"/>
      <c r="AB113" s="26"/>
      <c r="AC113" s="26"/>
      <c r="AD113" s="26"/>
    </row>
    <row r="114">
      <c r="H114" s="5"/>
      <c r="O114" s="5"/>
      <c r="V114" s="5"/>
      <c r="X114" s="28"/>
      <c r="Y114" s="26"/>
      <c r="Z114" s="26"/>
      <c r="AA114" s="26"/>
      <c r="AB114" s="26"/>
      <c r="AC114" s="26"/>
      <c r="AD114" s="26"/>
    </row>
    <row r="115">
      <c r="H115" s="5"/>
      <c r="O115" s="5"/>
      <c r="V115" s="5"/>
      <c r="X115" s="29"/>
      <c r="Y115" s="26"/>
      <c r="Z115" s="26"/>
      <c r="AA115" s="26"/>
      <c r="AB115" s="26"/>
      <c r="AC115" s="26"/>
      <c r="AD115" s="26"/>
    </row>
    <row r="116">
      <c r="H116" s="5"/>
      <c r="O116" s="5"/>
      <c r="V116" s="5"/>
      <c r="X116" s="28"/>
      <c r="Y116" s="26"/>
      <c r="Z116" s="26"/>
      <c r="AA116" s="26"/>
      <c r="AB116" s="26"/>
      <c r="AC116" s="26"/>
      <c r="AD116" s="26"/>
    </row>
    <row r="117">
      <c r="H117" s="5"/>
      <c r="O117" s="5"/>
      <c r="V117" s="5"/>
      <c r="X117" s="29"/>
      <c r="Y117" s="26"/>
      <c r="Z117" s="26"/>
      <c r="AA117" s="26"/>
      <c r="AB117" s="26"/>
      <c r="AC117" s="26"/>
      <c r="AD117" s="26"/>
    </row>
    <row r="118">
      <c r="H118" s="5"/>
      <c r="O118" s="5"/>
      <c r="V118" s="5"/>
      <c r="X118" s="28"/>
      <c r="Y118" s="26"/>
      <c r="Z118" s="26"/>
      <c r="AA118" s="26"/>
      <c r="AB118" s="26"/>
      <c r="AC118" s="26"/>
      <c r="AD118" s="26"/>
    </row>
    <row r="119">
      <c r="H119" s="5"/>
      <c r="O119" s="5"/>
      <c r="V119" s="5"/>
      <c r="X119" s="29"/>
      <c r="Y119" s="26"/>
      <c r="Z119" s="26"/>
      <c r="AA119" s="26"/>
      <c r="AB119" s="26"/>
      <c r="AC119" s="26"/>
      <c r="AD119" s="26"/>
    </row>
    <row r="120">
      <c r="H120" s="5"/>
      <c r="O120" s="5"/>
      <c r="V120" s="5"/>
      <c r="X120" s="28"/>
      <c r="Y120" s="26"/>
      <c r="Z120" s="26"/>
      <c r="AA120" s="26"/>
      <c r="AB120" s="26"/>
      <c r="AC120" s="26"/>
      <c r="AD120" s="26"/>
    </row>
    <row r="121">
      <c r="H121" s="5"/>
      <c r="O121" s="5"/>
      <c r="V121" s="5"/>
      <c r="X121" s="29"/>
      <c r="Y121" s="26"/>
      <c r="Z121" s="26"/>
      <c r="AA121" s="26"/>
      <c r="AB121" s="26"/>
      <c r="AC121" s="26"/>
      <c r="AD121" s="26"/>
    </row>
    <row r="122">
      <c r="H122" s="5"/>
      <c r="O122" s="5"/>
      <c r="V122" s="5"/>
      <c r="X122" s="28"/>
      <c r="Y122" s="26"/>
      <c r="Z122" s="26"/>
      <c r="AA122" s="26"/>
      <c r="AB122" s="26"/>
      <c r="AC122" s="26"/>
      <c r="AD122" s="26"/>
    </row>
    <row r="123">
      <c r="H123" s="5"/>
      <c r="O123" s="5"/>
      <c r="V123" s="5"/>
      <c r="X123" s="29"/>
      <c r="Y123" s="26"/>
      <c r="Z123" s="26"/>
      <c r="AA123" s="26"/>
      <c r="AB123" s="26"/>
      <c r="AC123" s="26"/>
      <c r="AD123" s="26"/>
    </row>
    <row r="124">
      <c r="H124" s="5"/>
      <c r="O124" s="5"/>
      <c r="V124" s="5"/>
      <c r="X124" s="28"/>
      <c r="Y124" s="26"/>
      <c r="Z124" s="26"/>
      <c r="AA124" s="26"/>
      <c r="AB124" s="26"/>
      <c r="AC124" s="26"/>
      <c r="AD124" s="26"/>
    </row>
    <row r="125">
      <c r="H125" s="5"/>
      <c r="O125" s="5"/>
      <c r="V125" s="5"/>
      <c r="X125" s="29"/>
      <c r="Y125" s="26"/>
      <c r="Z125" s="26"/>
      <c r="AA125" s="26"/>
      <c r="AB125" s="26"/>
      <c r="AC125" s="26"/>
      <c r="AD125" s="26"/>
    </row>
    <row r="126">
      <c r="H126" s="5"/>
      <c r="O126" s="5"/>
      <c r="V126" s="5"/>
      <c r="X126" s="28"/>
      <c r="Y126" s="26"/>
      <c r="Z126" s="26"/>
      <c r="AA126" s="26"/>
      <c r="AB126" s="26"/>
      <c r="AC126" s="26"/>
      <c r="AD126" s="26"/>
    </row>
    <row r="127">
      <c r="H127" s="5"/>
      <c r="O127" s="5"/>
      <c r="V127" s="5"/>
      <c r="X127" s="29"/>
      <c r="Y127" s="26"/>
      <c r="Z127" s="26"/>
      <c r="AA127" s="26"/>
      <c r="AB127" s="26"/>
      <c r="AC127" s="26"/>
      <c r="AD127" s="26"/>
    </row>
    <row r="128">
      <c r="H128" s="5"/>
      <c r="O128" s="5"/>
      <c r="V128" s="5"/>
      <c r="X128" s="28"/>
      <c r="Y128" s="26"/>
      <c r="Z128" s="26"/>
      <c r="AA128" s="26"/>
      <c r="AB128" s="26"/>
      <c r="AC128" s="26"/>
      <c r="AD128" s="26"/>
    </row>
    <row r="129">
      <c r="H129" s="5"/>
      <c r="O129" s="5"/>
      <c r="V129" s="5"/>
      <c r="X129" s="29"/>
      <c r="Y129" s="26"/>
      <c r="Z129" s="26"/>
      <c r="AA129" s="26"/>
      <c r="AB129" s="26"/>
      <c r="AC129" s="26"/>
      <c r="AD129" s="26"/>
    </row>
    <row r="130">
      <c r="H130" s="5"/>
      <c r="O130" s="5"/>
      <c r="V130" s="5"/>
      <c r="X130" s="28"/>
      <c r="Y130" s="26"/>
      <c r="Z130" s="26"/>
      <c r="AA130" s="26"/>
      <c r="AB130" s="26"/>
      <c r="AC130" s="26"/>
      <c r="AD130" s="26"/>
    </row>
    <row r="131">
      <c r="H131" s="5"/>
      <c r="O131" s="5"/>
      <c r="V131" s="5"/>
      <c r="X131" s="29"/>
      <c r="Y131" s="26"/>
      <c r="Z131" s="26"/>
      <c r="AA131" s="26"/>
      <c r="AB131" s="26"/>
      <c r="AC131" s="26"/>
      <c r="AD131" s="26"/>
    </row>
    <row r="132">
      <c r="H132" s="5"/>
      <c r="O132" s="5"/>
      <c r="V132" s="5"/>
      <c r="X132" s="28"/>
      <c r="Y132" s="26"/>
      <c r="Z132" s="26"/>
      <c r="AA132" s="26"/>
      <c r="AB132" s="26"/>
      <c r="AC132" s="26"/>
      <c r="AD132" s="26"/>
    </row>
    <row r="133">
      <c r="H133" s="5"/>
      <c r="O133" s="5"/>
      <c r="V133" s="5"/>
      <c r="X133" s="29"/>
      <c r="Y133" s="26"/>
      <c r="Z133" s="26"/>
      <c r="AA133" s="26"/>
      <c r="AB133" s="26"/>
      <c r="AC133" s="26"/>
      <c r="AD133" s="26"/>
    </row>
    <row r="134">
      <c r="H134" s="5"/>
      <c r="O134" s="5"/>
      <c r="V134" s="5"/>
      <c r="X134" s="28"/>
      <c r="Y134" s="26"/>
      <c r="Z134" s="26"/>
      <c r="AA134" s="26"/>
      <c r="AB134" s="26"/>
      <c r="AC134" s="26"/>
      <c r="AD134" s="26"/>
    </row>
    <row r="135">
      <c r="H135" s="5"/>
      <c r="O135" s="5"/>
      <c r="V135" s="5"/>
      <c r="X135" s="29"/>
      <c r="Y135" s="26"/>
      <c r="Z135" s="26"/>
      <c r="AA135" s="26"/>
      <c r="AB135" s="26"/>
      <c r="AC135" s="26"/>
      <c r="AD135" s="26"/>
    </row>
    <row r="136">
      <c r="H136" s="5"/>
      <c r="O136" s="5"/>
      <c r="V136" s="5"/>
      <c r="X136" s="28"/>
      <c r="Y136" s="26"/>
      <c r="Z136" s="26"/>
      <c r="AA136" s="26"/>
      <c r="AB136" s="26"/>
      <c r="AC136" s="26"/>
      <c r="AD136" s="26"/>
    </row>
    <row r="137">
      <c r="H137" s="5"/>
      <c r="O137" s="5"/>
      <c r="V137" s="5"/>
      <c r="X137" s="29"/>
      <c r="Y137" s="26"/>
      <c r="Z137" s="26"/>
      <c r="AA137" s="26"/>
      <c r="AB137" s="26"/>
      <c r="AC137" s="26"/>
      <c r="AD137" s="26"/>
    </row>
    <row r="138">
      <c r="H138" s="5"/>
      <c r="O138" s="5"/>
      <c r="V138" s="5"/>
      <c r="X138" s="28"/>
      <c r="Y138" s="26"/>
      <c r="Z138" s="26"/>
      <c r="AA138" s="26"/>
      <c r="AB138" s="26"/>
      <c r="AC138" s="26"/>
      <c r="AD138" s="26"/>
    </row>
    <row r="139">
      <c r="H139" s="5"/>
      <c r="O139" s="5"/>
      <c r="V139" s="5"/>
      <c r="X139" s="29"/>
      <c r="Y139" s="26"/>
      <c r="Z139" s="26"/>
      <c r="AA139" s="26"/>
      <c r="AB139" s="26"/>
      <c r="AC139" s="26"/>
      <c r="AD139" s="26"/>
    </row>
    <row r="140">
      <c r="H140" s="5"/>
      <c r="O140" s="5"/>
      <c r="V140" s="5"/>
      <c r="X140" s="28"/>
      <c r="Y140" s="26"/>
      <c r="Z140" s="26"/>
      <c r="AA140" s="26"/>
      <c r="AB140" s="26"/>
      <c r="AC140" s="26"/>
      <c r="AD140" s="26"/>
    </row>
    <row r="141">
      <c r="H141" s="5"/>
      <c r="O141" s="5"/>
      <c r="V141" s="5"/>
      <c r="X141" s="29"/>
      <c r="Y141" s="26"/>
      <c r="Z141" s="26"/>
      <c r="AA141" s="26"/>
      <c r="AB141" s="26"/>
      <c r="AC141" s="26"/>
      <c r="AD141" s="26"/>
    </row>
    <row r="142">
      <c r="H142" s="5"/>
      <c r="O142" s="5"/>
      <c r="V142" s="5"/>
      <c r="X142" s="28"/>
      <c r="Y142" s="26"/>
      <c r="Z142" s="26"/>
      <c r="AA142" s="26"/>
      <c r="AB142" s="26"/>
      <c r="AC142" s="26"/>
      <c r="AD142" s="26"/>
    </row>
    <row r="143">
      <c r="H143" s="5"/>
      <c r="O143" s="5"/>
      <c r="V143" s="5"/>
      <c r="X143" s="29"/>
      <c r="Y143" s="26"/>
      <c r="Z143" s="26"/>
      <c r="AA143" s="26"/>
      <c r="AB143" s="26"/>
      <c r="AC143" s="26"/>
      <c r="AD143" s="26"/>
    </row>
    <row r="144">
      <c r="H144" s="5"/>
      <c r="O144" s="5"/>
      <c r="V144" s="5"/>
      <c r="X144" s="28"/>
      <c r="Y144" s="26"/>
      <c r="Z144" s="26"/>
      <c r="AA144" s="26"/>
      <c r="AB144" s="26"/>
      <c r="AC144" s="26"/>
      <c r="AD144" s="26"/>
    </row>
    <row r="145">
      <c r="H145" s="5"/>
      <c r="O145" s="5"/>
      <c r="V145" s="5"/>
      <c r="X145" s="29"/>
      <c r="Y145" s="26"/>
      <c r="Z145" s="26"/>
      <c r="AA145" s="26"/>
      <c r="AB145" s="26"/>
      <c r="AC145" s="26"/>
      <c r="AD145" s="26"/>
    </row>
    <row r="146">
      <c r="H146" s="5"/>
      <c r="O146" s="5"/>
      <c r="V146" s="5"/>
      <c r="X146" s="28"/>
      <c r="Y146" s="26"/>
      <c r="Z146" s="26"/>
      <c r="AA146" s="26"/>
      <c r="AB146" s="26"/>
      <c r="AC146" s="26"/>
      <c r="AD146" s="26"/>
    </row>
    <row r="147">
      <c r="H147" s="5"/>
      <c r="O147" s="5"/>
      <c r="V147" s="5"/>
      <c r="X147" s="29"/>
      <c r="Y147" s="26"/>
      <c r="Z147" s="26"/>
      <c r="AA147" s="26"/>
      <c r="AB147" s="26"/>
      <c r="AC147" s="26"/>
      <c r="AD147" s="26"/>
    </row>
    <row r="148">
      <c r="H148" s="5"/>
      <c r="O148" s="5"/>
      <c r="V148" s="5"/>
      <c r="X148" s="28"/>
      <c r="Y148" s="26"/>
      <c r="Z148" s="26"/>
      <c r="AA148" s="26"/>
      <c r="AB148" s="26"/>
      <c r="AC148" s="26"/>
      <c r="AD148" s="26"/>
    </row>
    <row r="149">
      <c r="H149" s="5"/>
      <c r="O149" s="5"/>
      <c r="V149" s="5"/>
      <c r="X149" s="29"/>
      <c r="Y149" s="26"/>
      <c r="Z149" s="26"/>
      <c r="AA149" s="26"/>
      <c r="AB149" s="26"/>
      <c r="AC149" s="26"/>
      <c r="AD149" s="26"/>
    </row>
    <row r="150">
      <c r="H150" s="5"/>
      <c r="O150" s="5"/>
      <c r="V150" s="5"/>
      <c r="X150" s="28"/>
      <c r="Y150" s="26"/>
      <c r="Z150" s="26"/>
      <c r="AA150" s="26"/>
      <c r="AB150" s="26"/>
      <c r="AC150" s="26"/>
      <c r="AD150" s="26"/>
    </row>
    <row r="151">
      <c r="H151" s="5"/>
      <c r="O151" s="5"/>
      <c r="V151" s="5"/>
      <c r="X151" s="29"/>
      <c r="Y151" s="26"/>
      <c r="Z151" s="26"/>
      <c r="AA151" s="26"/>
      <c r="AB151" s="26"/>
      <c r="AC151" s="26"/>
      <c r="AD151" s="26"/>
    </row>
    <row r="152">
      <c r="H152" s="5"/>
      <c r="O152" s="5"/>
      <c r="V152" s="5"/>
      <c r="X152" s="28"/>
      <c r="Y152" s="26"/>
      <c r="Z152" s="26"/>
      <c r="AA152" s="26"/>
      <c r="AB152" s="26"/>
      <c r="AC152" s="26"/>
      <c r="AD152" s="26"/>
    </row>
    <row r="153">
      <c r="H153" s="5"/>
      <c r="O153" s="5"/>
      <c r="V153" s="5"/>
      <c r="X153" s="29"/>
      <c r="Y153" s="26"/>
      <c r="Z153" s="26"/>
      <c r="AA153" s="26"/>
      <c r="AB153" s="26"/>
      <c r="AC153" s="26"/>
      <c r="AD153" s="26"/>
    </row>
    <row r="154">
      <c r="H154" s="5"/>
      <c r="O154" s="5"/>
      <c r="V154" s="5"/>
      <c r="X154" s="28"/>
      <c r="Y154" s="26"/>
      <c r="Z154" s="26"/>
      <c r="AA154" s="26"/>
      <c r="AB154" s="26"/>
      <c r="AC154" s="26"/>
      <c r="AD154" s="26"/>
    </row>
    <row r="155">
      <c r="H155" s="5"/>
      <c r="O155" s="5"/>
      <c r="V155" s="5"/>
      <c r="X155" s="29"/>
      <c r="Y155" s="26"/>
      <c r="Z155" s="26"/>
      <c r="AA155" s="26"/>
      <c r="AB155" s="26"/>
      <c r="AC155" s="26"/>
      <c r="AD155" s="26"/>
    </row>
    <row r="156">
      <c r="H156" s="5"/>
      <c r="O156" s="5"/>
      <c r="V156" s="5"/>
      <c r="X156" s="28"/>
      <c r="Y156" s="26"/>
      <c r="Z156" s="26"/>
      <c r="AA156" s="26"/>
      <c r="AB156" s="26"/>
      <c r="AC156" s="26"/>
      <c r="AD156" s="26"/>
    </row>
    <row r="157">
      <c r="H157" s="5"/>
      <c r="O157" s="5"/>
      <c r="V157" s="5"/>
      <c r="X157" s="29"/>
      <c r="Y157" s="26"/>
      <c r="Z157" s="26"/>
      <c r="AA157" s="26"/>
      <c r="AB157" s="26"/>
      <c r="AC157" s="26"/>
      <c r="AD157" s="26"/>
    </row>
    <row r="158">
      <c r="H158" s="5"/>
      <c r="O158" s="5"/>
      <c r="V158" s="5"/>
      <c r="X158" s="28"/>
      <c r="Y158" s="26"/>
      <c r="Z158" s="26"/>
      <c r="AA158" s="26"/>
      <c r="AB158" s="26"/>
      <c r="AC158" s="26"/>
      <c r="AD158" s="26"/>
    </row>
    <row r="159">
      <c r="H159" s="5"/>
      <c r="O159" s="5"/>
      <c r="V159" s="5"/>
      <c r="X159" s="29"/>
      <c r="Y159" s="26"/>
      <c r="Z159" s="26"/>
      <c r="AA159" s="26"/>
      <c r="AB159" s="26"/>
      <c r="AC159" s="26"/>
      <c r="AD159" s="26"/>
    </row>
    <row r="160">
      <c r="H160" s="5"/>
      <c r="O160" s="5"/>
      <c r="V160" s="5"/>
      <c r="X160" s="28"/>
      <c r="Y160" s="26"/>
      <c r="Z160" s="26"/>
      <c r="AA160" s="26"/>
      <c r="AB160" s="26"/>
      <c r="AC160" s="26"/>
      <c r="AD160" s="26"/>
    </row>
    <row r="161">
      <c r="H161" s="5"/>
      <c r="O161" s="5"/>
      <c r="V161" s="5"/>
      <c r="X161" s="29"/>
      <c r="Y161" s="26"/>
      <c r="Z161" s="26"/>
      <c r="AA161" s="26"/>
      <c r="AB161" s="26"/>
      <c r="AC161" s="26"/>
      <c r="AD161" s="26"/>
    </row>
    <row r="162">
      <c r="H162" s="5"/>
      <c r="O162" s="5"/>
      <c r="V162" s="5"/>
      <c r="X162" s="28"/>
      <c r="Y162" s="26"/>
      <c r="Z162" s="26"/>
      <c r="AA162" s="26"/>
      <c r="AB162" s="26"/>
      <c r="AC162" s="26"/>
      <c r="AD162" s="26"/>
    </row>
    <row r="163">
      <c r="H163" s="5"/>
      <c r="O163" s="5"/>
      <c r="V163" s="5"/>
      <c r="X163" s="29"/>
      <c r="Y163" s="26"/>
      <c r="Z163" s="26"/>
      <c r="AA163" s="26"/>
      <c r="AB163" s="26"/>
      <c r="AC163" s="26"/>
      <c r="AD163" s="26"/>
    </row>
    <row r="164">
      <c r="H164" s="5"/>
      <c r="O164" s="5"/>
      <c r="V164" s="5"/>
      <c r="X164" s="28"/>
      <c r="Y164" s="26"/>
      <c r="Z164" s="26"/>
      <c r="AA164" s="26"/>
      <c r="AB164" s="26"/>
      <c r="AC164" s="26"/>
      <c r="AD164" s="26"/>
    </row>
    <row r="165">
      <c r="H165" s="5"/>
      <c r="O165" s="5"/>
      <c r="V165" s="5"/>
      <c r="X165" s="29"/>
      <c r="Y165" s="26"/>
      <c r="Z165" s="26"/>
      <c r="AA165" s="26"/>
      <c r="AB165" s="26"/>
      <c r="AC165" s="26"/>
      <c r="AD165" s="26"/>
    </row>
    <row r="166">
      <c r="H166" s="5"/>
      <c r="O166" s="5"/>
      <c r="V166" s="5"/>
      <c r="X166" s="28"/>
      <c r="Y166" s="26"/>
      <c r="Z166" s="26"/>
      <c r="AA166" s="26"/>
      <c r="AB166" s="26"/>
      <c r="AC166" s="26"/>
      <c r="AD166" s="26"/>
    </row>
    <row r="167">
      <c r="H167" s="5"/>
      <c r="O167" s="5"/>
      <c r="V167" s="5"/>
      <c r="X167" s="29"/>
      <c r="Y167" s="26"/>
      <c r="Z167" s="26"/>
      <c r="AA167" s="26"/>
      <c r="AB167" s="26"/>
      <c r="AC167" s="26"/>
      <c r="AD167" s="26"/>
    </row>
    <row r="168">
      <c r="H168" s="5"/>
      <c r="O168" s="5"/>
      <c r="V168" s="5"/>
      <c r="X168" s="28"/>
      <c r="Y168" s="26"/>
      <c r="Z168" s="26"/>
      <c r="AA168" s="26"/>
      <c r="AB168" s="26"/>
      <c r="AC168" s="26"/>
      <c r="AD168" s="26"/>
    </row>
    <row r="169">
      <c r="H169" s="5"/>
      <c r="O169" s="5"/>
      <c r="V169" s="5"/>
      <c r="X169" s="29"/>
      <c r="Y169" s="26"/>
      <c r="Z169" s="26"/>
      <c r="AA169" s="26"/>
      <c r="AB169" s="26"/>
      <c r="AC169" s="26"/>
      <c r="AD169" s="26"/>
    </row>
    <row r="170">
      <c r="H170" s="5"/>
      <c r="O170" s="5"/>
      <c r="V170" s="5"/>
      <c r="X170" s="28"/>
      <c r="Y170" s="26"/>
      <c r="Z170" s="26"/>
      <c r="AA170" s="26"/>
      <c r="AB170" s="26"/>
      <c r="AC170" s="26"/>
      <c r="AD170" s="26"/>
    </row>
    <row r="171">
      <c r="H171" s="5"/>
      <c r="O171" s="5"/>
      <c r="V171" s="5"/>
      <c r="X171" s="29"/>
      <c r="Y171" s="26"/>
      <c r="Z171" s="26"/>
      <c r="AA171" s="26"/>
      <c r="AB171" s="26"/>
      <c r="AC171" s="26"/>
      <c r="AD171" s="26"/>
    </row>
    <row r="172">
      <c r="H172" s="5"/>
      <c r="O172" s="5"/>
      <c r="V172" s="5"/>
      <c r="X172" s="28"/>
      <c r="Y172" s="26"/>
      <c r="Z172" s="26"/>
      <c r="AA172" s="26"/>
      <c r="AB172" s="26"/>
      <c r="AC172" s="26"/>
      <c r="AD172" s="26"/>
    </row>
    <row r="173">
      <c r="H173" s="5"/>
      <c r="O173" s="5"/>
      <c r="V173" s="5"/>
      <c r="X173" s="29"/>
      <c r="Y173" s="26"/>
      <c r="Z173" s="26"/>
      <c r="AA173" s="26"/>
      <c r="AB173" s="26"/>
      <c r="AC173" s="26"/>
      <c r="AD173" s="26"/>
    </row>
    <row r="174">
      <c r="H174" s="5"/>
      <c r="O174" s="5"/>
      <c r="V174" s="5"/>
      <c r="X174" s="28"/>
      <c r="Y174" s="26"/>
      <c r="Z174" s="26"/>
      <c r="AA174" s="26"/>
      <c r="AB174" s="26"/>
      <c r="AC174" s="26"/>
      <c r="AD174" s="26"/>
    </row>
    <row r="175">
      <c r="H175" s="5"/>
      <c r="O175" s="5"/>
      <c r="V175" s="5"/>
      <c r="X175" s="29"/>
      <c r="Y175" s="26"/>
      <c r="Z175" s="26"/>
      <c r="AA175" s="26"/>
      <c r="AB175" s="26"/>
      <c r="AC175" s="26"/>
      <c r="AD175" s="26"/>
    </row>
    <row r="176">
      <c r="H176" s="5"/>
      <c r="O176" s="5"/>
      <c r="V176" s="5"/>
      <c r="X176" s="28"/>
      <c r="Y176" s="26"/>
      <c r="Z176" s="26"/>
      <c r="AA176" s="26"/>
      <c r="AB176" s="26"/>
      <c r="AC176" s="26"/>
      <c r="AD176" s="26"/>
    </row>
    <row r="177">
      <c r="H177" s="5"/>
      <c r="O177" s="5"/>
      <c r="V177" s="5"/>
      <c r="X177" s="29"/>
      <c r="Y177" s="26"/>
      <c r="Z177" s="26"/>
      <c r="AA177" s="26"/>
      <c r="AB177" s="26"/>
      <c r="AC177" s="26"/>
      <c r="AD177" s="26"/>
    </row>
    <row r="178">
      <c r="H178" s="5"/>
      <c r="O178" s="5"/>
      <c r="V178" s="5"/>
      <c r="X178" s="28"/>
      <c r="Y178" s="26"/>
      <c r="Z178" s="26"/>
      <c r="AA178" s="26"/>
      <c r="AB178" s="26"/>
      <c r="AC178" s="26"/>
      <c r="AD178" s="26"/>
    </row>
    <row r="179">
      <c r="H179" s="5"/>
      <c r="O179" s="5"/>
      <c r="V179" s="5"/>
      <c r="X179" s="29"/>
      <c r="Y179" s="26"/>
      <c r="Z179" s="26"/>
      <c r="AA179" s="26"/>
      <c r="AB179" s="26"/>
      <c r="AC179" s="26"/>
      <c r="AD179" s="26"/>
    </row>
    <row r="180">
      <c r="H180" s="5"/>
      <c r="O180" s="5"/>
      <c r="V180" s="5"/>
      <c r="X180" s="28"/>
      <c r="Y180" s="26"/>
      <c r="Z180" s="26"/>
      <c r="AA180" s="26"/>
      <c r="AB180" s="26"/>
      <c r="AC180" s="26"/>
      <c r="AD180" s="26"/>
    </row>
    <row r="181">
      <c r="H181" s="5"/>
      <c r="O181" s="5"/>
      <c r="V181" s="5"/>
      <c r="X181" s="29"/>
      <c r="Y181" s="26"/>
      <c r="Z181" s="26"/>
      <c r="AA181" s="26"/>
      <c r="AB181" s="26"/>
      <c r="AC181" s="26"/>
      <c r="AD181" s="26"/>
    </row>
    <row r="182">
      <c r="H182" s="5"/>
      <c r="O182" s="5"/>
      <c r="V182" s="5"/>
      <c r="X182" s="28"/>
      <c r="Y182" s="26"/>
      <c r="Z182" s="26"/>
      <c r="AA182" s="26"/>
      <c r="AB182" s="26"/>
      <c r="AC182" s="26"/>
      <c r="AD182" s="26"/>
    </row>
    <row r="183">
      <c r="H183" s="5"/>
      <c r="O183" s="5"/>
      <c r="V183" s="5"/>
      <c r="X183" s="29"/>
      <c r="Y183" s="26"/>
      <c r="Z183" s="26"/>
      <c r="AA183" s="26"/>
      <c r="AB183" s="26"/>
      <c r="AC183" s="26"/>
      <c r="AD183" s="26"/>
    </row>
    <row r="184">
      <c r="H184" s="5"/>
      <c r="O184" s="5"/>
      <c r="V184" s="5"/>
      <c r="X184" s="28"/>
      <c r="Y184" s="26"/>
      <c r="Z184" s="26"/>
      <c r="AA184" s="26"/>
      <c r="AB184" s="26"/>
      <c r="AC184" s="26"/>
      <c r="AD184" s="26"/>
    </row>
    <row r="185">
      <c r="H185" s="5"/>
      <c r="O185" s="5"/>
      <c r="V185" s="5"/>
      <c r="X185" s="29"/>
      <c r="Y185" s="26"/>
      <c r="Z185" s="26"/>
      <c r="AA185" s="26"/>
      <c r="AB185" s="26"/>
      <c r="AC185" s="26"/>
      <c r="AD185" s="26"/>
    </row>
    <row r="186">
      <c r="H186" s="5"/>
      <c r="O186" s="5"/>
      <c r="V186" s="5"/>
      <c r="X186" s="28"/>
      <c r="Y186" s="26"/>
      <c r="Z186" s="26"/>
      <c r="AA186" s="26"/>
      <c r="AB186" s="26"/>
      <c r="AC186" s="26"/>
      <c r="AD186" s="26"/>
    </row>
    <row r="187">
      <c r="H187" s="5"/>
      <c r="O187" s="5"/>
      <c r="V187" s="5"/>
      <c r="X187" s="29"/>
      <c r="Y187" s="26"/>
      <c r="Z187" s="26"/>
      <c r="AA187" s="26"/>
      <c r="AB187" s="26"/>
      <c r="AC187" s="26"/>
      <c r="AD187" s="26"/>
    </row>
    <row r="188">
      <c r="H188" s="5"/>
      <c r="O188" s="5"/>
      <c r="V188" s="5"/>
      <c r="X188" s="28"/>
      <c r="Y188" s="26"/>
      <c r="Z188" s="26"/>
      <c r="AA188" s="26"/>
      <c r="AB188" s="26"/>
      <c r="AC188" s="26"/>
      <c r="AD188" s="26"/>
    </row>
    <row r="189">
      <c r="H189" s="5"/>
      <c r="O189" s="5"/>
      <c r="V189" s="5"/>
      <c r="X189" s="29"/>
      <c r="Y189" s="26"/>
      <c r="Z189" s="26"/>
      <c r="AA189" s="26"/>
      <c r="AB189" s="26"/>
      <c r="AC189" s="26"/>
      <c r="AD189" s="26"/>
    </row>
    <row r="190">
      <c r="H190" s="5"/>
      <c r="O190" s="5"/>
      <c r="V190" s="5"/>
      <c r="X190" s="28"/>
      <c r="Y190" s="26"/>
      <c r="Z190" s="26"/>
      <c r="AA190" s="26"/>
      <c r="AB190" s="26"/>
      <c r="AC190" s="26"/>
      <c r="AD190" s="26"/>
    </row>
    <row r="191">
      <c r="H191" s="5"/>
      <c r="O191" s="5"/>
      <c r="V191" s="5"/>
      <c r="X191" s="29"/>
      <c r="Y191" s="26"/>
      <c r="Z191" s="26"/>
      <c r="AA191" s="26"/>
      <c r="AB191" s="26"/>
      <c r="AC191" s="26"/>
      <c r="AD191" s="26"/>
    </row>
    <row r="192">
      <c r="H192" s="5"/>
      <c r="O192" s="5"/>
      <c r="V192" s="5"/>
      <c r="X192" s="28"/>
      <c r="Y192" s="26"/>
      <c r="Z192" s="26"/>
      <c r="AA192" s="26"/>
      <c r="AB192" s="26"/>
      <c r="AC192" s="26"/>
      <c r="AD192" s="26"/>
    </row>
    <row r="193">
      <c r="H193" s="5"/>
      <c r="O193" s="5"/>
      <c r="V193" s="5"/>
      <c r="X193" s="29"/>
      <c r="Y193" s="26"/>
      <c r="Z193" s="26"/>
      <c r="AA193" s="26"/>
      <c r="AB193" s="26"/>
      <c r="AC193" s="26"/>
      <c r="AD193" s="26"/>
    </row>
    <row r="194">
      <c r="H194" s="5"/>
      <c r="O194" s="5"/>
      <c r="V194" s="5"/>
      <c r="X194" s="28"/>
      <c r="Y194" s="26"/>
      <c r="Z194" s="26"/>
      <c r="AA194" s="26"/>
      <c r="AB194" s="26"/>
      <c r="AC194" s="26"/>
      <c r="AD194" s="26"/>
    </row>
    <row r="195">
      <c r="H195" s="5"/>
      <c r="O195" s="5"/>
      <c r="V195" s="5"/>
      <c r="X195" s="29"/>
      <c r="Y195" s="26"/>
      <c r="Z195" s="26"/>
      <c r="AA195" s="26"/>
      <c r="AB195" s="26"/>
      <c r="AC195" s="26"/>
      <c r="AD195" s="26"/>
    </row>
    <row r="196">
      <c r="H196" s="5"/>
      <c r="O196" s="5"/>
      <c r="V196" s="5"/>
      <c r="X196" s="28"/>
      <c r="Y196" s="26"/>
      <c r="Z196" s="26"/>
      <c r="AA196" s="26"/>
      <c r="AB196" s="26"/>
      <c r="AC196" s="26"/>
      <c r="AD196" s="26"/>
    </row>
    <row r="197">
      <c r="H197" s="5"/>
      <c r="O197" s="5"/>
      <c r="V197" s="5"/>
      <c r="X197" s="29"/>
      <c r="Y197" s="26"/>
      <c r="Z197" s="26"/>
      <c r="AA197" s="26"/>
      <c r="AB197" s="26"/>
      <c r="AC197" s="26"/>
      <c r="AD197" s="26"/>
    </row>
    <row r="198">
      <c r="H198" s="5"/>
      <c r="O198" s="5"/>
      <c r="V198" s="5"/>
      <c r="X198" s="28"/>
      <c r="Y198" s="26"/>
      <c r="Z198" s="26"/>
      <c r="AA198" s="26"/>
      <c r="AB198" s="26"/>
      <c r="AC198" s="26"/>
      <c r="AD198" s="26"/>
    </row>
    <row r="199">
      <c r="H199" s="5"/>
      <c r="O199" s="5"/>
      <c r="V199" s="5"/>
      <c r="X199" s="29"/>
      <c r="Y199" s="26"/>
      <c r="Z199" s="26"/>
      <c r="AA199" s="26"/>
      <c r="AB199" s="26"/>
      <c r="AC199" s="26"/>
      <c r="AD199" s="26"/>
    </row>
    <row r="200">
      <c r="H200" s="5"/>
      <c r="O200" s="5"/>
      <c r="V200" s="5"/>
      <c r="X200" s="28"/>
      <c r="Y200" s="26"/>
      <c r="Z200" s="26"/>
      <c r="AA200" s="26"/>
      <c r="AB200" s="26"/>
      <c r="AC200" s="26"/>
      <c r="AD200" s="26"/>
    </row>
    <row r="201">
      <c r="H201" s="5"/>
      <c r="O201" s="5"/>
      <c r="V201" s="5"/>
      <c r="X201" s="29"/>
      <c r="Y201" s="26"/>
      <c r="Z201" s="26"/>
      <c r="AA201" s="26"/>
      <c r="AB201" s="26"/>
      <c r="AC201" s="26"/>
      <c r="AD201" s="26"/>
    </row>
    <row r="202">
      <c r="H202" s="5"/>
      <c r="O202" s="5"/>
      <c r="V202" s="5"/>
      <c r="X202" s="28"/>
      <c r="Y202" s="26"/>
      <c r="Z202" s="26"/>
      <c r="AA202" s="26"/>
      <c r="AB202" s="26"/>
      <c r="AC202" s="26"/>
      <c r="AD202" s="26"/>
    </row>
    <row r="203">
      <c r="H203" s="5"/>
      <c r="O203" s="5"/>
      <c r="V203" s="5"/>
      <c r="X203" s="29"/>
      <c r="Y203" s="26"/>
      <c r="Z203" s="26"/>
      <c r="AA203" s="26"/>
      <c r="AB203" s="26"/>
      <c r="AC203" s="26"/>
      <c r="AD203" s="26"/>
    </row>
    <row r="204">
      <c r="H204" s="5"/>
      <c r="O204" s="5"/>
      <c r="V204" s="5"/>
      <c r="X204" s="28"/>
      <c r="Y204" s="26"/>
      <c r="Z204" s="26"/>
      <c r="AA204" s="26"/>
      <c r="AB204" s="26"/>
      <c r="AC204" s="26"/>
      <c r="AD204" s="26"/>
    </row>
    <row r="205">
      <c r="H205" s="5"/>
      <c r="O205" s="5"/>
      <c r="V205" s="5"/>
      <c r="X205" s="29"/>
      <c r="Y205" s="26"/>
      <c r="Z205" s="26"/>
      <c r="AA205" s="26"/>
      <c r="AB205" s="26"/>
      <c r="AC205" s="26"/>
      <c r="AD205" s="26"/>
    </row>
    <row r="206">
      <c r="H206" s="5"/>
      <c r="O206" s="5"/>
      <c r="V206" s="5"/>
      <c r="X206" s="28"/>
      <c r="Y206" s="26"/>
      <c r="Z206" s="26"/>
      <c r="AA206" s="26"/>
      <c r="AB206" s="26"/>
      <c r="AC206" s="26"/>
      <c r="AD206" s="26"/>
    </row>
    <row r="207">
      <c r="H207" s="5"/>
      <c r="O207" s="5"/>
      <c r="V207" s="5"/>
      <c r="X207" s="29"/>
      <c r="Y207" s="26"/>
      <c r="Z207" s="26"/>
      <c r="AA207" s="26"/>
      <c r="AB207" s="26"/>
      <c r="AC207" s="26"/>
      <c r="AD207" s="26"/>
    </row>
    <row r="208">
      <c r="H208" s="5"/>
      <c r="O208" s="5"/>
      <c r="V208" s="5"/>
      <c r="X208" s="28"/>
      <c r="Y208" s="26"/>
      <c r="Z208" s="26"/>
      <c r="AA208" s="26"/>
      <c r="AB208" s="26"/>
      <c r="AC208" s="26"/>
      <c r="AD208" s="26"/>
    </row>
    <row r="209">
      <c r="H209" s="5"/>
      <c r="O209" s="5"/>
      <c r="V209" s="5"/>
      <c r="X209" s="29"/>
      <c r="Y209" s="26"/>
      <c r="Z209" s="26"/>
      <c r="AA209" s="26"/>
      <c r="AB209" s="26"/>
      <c r="AC209" s="26"/>
      <c r="AD209" s="26"/>
    </row>
    <row r="210">
      <c r="H210" s="5"/>
      <c r="O210" s="5"/>
      <c r="V210" s="5"/>
      <c r="X210" s="28"/>
      <c r="Y210" s="26"/>
      <c r="Z210" s="26"/>
      <c r="AA210" s="26"/>
      <c r="AB210" s="26"/>
      <c r="AC210" s="26"/>
      <c r="AD210" s="26"/>
    </row>
    <row r="211">
      <c r="H211" s="5"/>
      <c r="O211" s="5"/>
      <c r="V211" s="5"/>
      <c r="X211" s="29"/>
      <c r="Y211" s="26"/>
      <c r="Z211" s="26"/>
      <c r="AA211" s="26"/>
      <c r="AB211" s="26"/>
      <c r="AC211" s="26"/>
      <c r="AD211" s="26"/>
    </row>
    <row r="212">
      <c r="H212" s="5"/>
      <c r="O212" s="5"/>
      <c r="V212" s="5"/>
      <c r="X212" s="28"/>
      <c r="Y212" s="26"/>
      <c r="Z212" s="26"/>
      <c r="AA212" s="26"/>
      <c r="AB212" s="26"/>
      <c r="AC212" s="26"/>
      <c r="AD212" s="26"/>
    </row>
    <row r="213">
      <c r="H213" s="5"/>
      <c r="O213" s="5"/>
      <c r="V213" s="5"/>
      <c r="X213" s="29"/>
      <c r="Y213" s="26"/>
      <c r="Z213" s="26"/>
      <c r="AA213" s="26"/>
      <c r="AB213" s="26"/>
      <c r="AC213" s="26"/>
      <c r="AD213" s="26"/>
    </row>
    <row r="214">
      <c r="H214" s="5"/>
      <c r="O214" s="5"/>
      <c r="V214" s="5"/>
      <c r="X214" s="28"/>
      <c r="Y214" s="26"/>
      <c r="Z214" s="26"/>
      <c r="AA214" s="26"/>
      <c r="AB214" s="26"/>
      <c r="AC214" s="26"/>
      <c r="AD214" s="26"/>
    </row>
    <row r="215">
      <c r="H215" s="5"/>
      <c r="O215" s="5"/>
      <c r="V215" s="5"/>
      <c r="X215" s="29"/>
      <c r="Y215" s="26"/>
      <c r="Z215" s="26"/>
      <c r="AA215" s="26"/>
      <c r="AB215" s="26"/>
      <c r="AC215" s="26"/>
      <c r="AD215" s="26"/>
    </row>
    <row r="216">
      <c r="H216" s="5"/>
      <c r="O216" s="5"/>
      <c r="V216" s="5"/>
      <c r="X216" s="28"/>
      <c r="Y216" s="26"/>
      <c r="Z216" s="26"/>
      <c r="AA216" s="26"/>
      <c r="AB216" s="26"/>
      <c r="AC216" s="26"/>
      <c r="AD216" s="26"/>
    </row>
    <row r="217">
      <c r="H217" s="5"/>
      <c r="O217" s="5"/>
      <c r="V217" s="5"/>
      <c r="X217" s="29"/>
      <c r="Y217" s="26"/>
      <c r="Z217" s="26"/>
      <c r="AA217" s="26"/>
      <c r="AB217" s="26"/>
      <c r="AC217" s="26"/>
      <c r="AD217" s="26"/>
    </row>
    <row r="218">
      <c r="H218" s="5"/>
      <c r="O218" s="5"/>
      <c r="V218" s="5"/>
      <c r="X218" s="28"/>
      <c r="Y218" s="26"/>
      <c r="Z218" s="26"/>
      <c r="AA218" s="26"/>
      <c r="AB218" s="26"/>
      <c r="AC218" s="26"/>
      <c r="AD218" s="26"/>
    </row>
    <row r="219">
      <c r="H219" s="5"/>
      <c r="O219" s="5"/>
      <c r="V219" s="5"/>
      <c r="X219" s="29"/>
      <c r="Y219" s="26"/>
      <c r="Z219" s="26"/>
      <c r="AA219" s="26"/>
      <c r="AB219" s="26"/>
      <c r="AC219" s="26"/>
      <c r="AD219" s="26"/>
    </row>
    <row r="220">
      <c r="H220" s="5"/>
      <c r="O220" s="5"/>
      <c r="V220" s="5"/>
      <c r="X220" s="28"/>
      <c r="Y220" s="26"/>
      <c r="Z220" s="26"/>
      <c r="AA220" s="26"/>
      <c r="AB220" s="26"/>
      <c r="AC220" s="26"/>
      <c r="AD220" s="26"/>
    </row>
    <row r="221">
      <c r="H221" s="5"/>
      <c r="O221" s="5"/>
      <c r="V221" s="5"/>
      <c r="X221" s="29"/>
      <c r="Y221" s="26"/>
      <c r="Z221" s="26"/>
      <c r="AA221" s="26"/>
      <c r="AB221" s="26"/>
      <c r="AC221" s="26"/>
      <c r="AD221" s="26"/>
    </row>
    <row r="222">
      <c r="H222" s="5"/>
      <c r="O222" s="5"/>
      <c r="V222" s="5"/>
      <c r="X222" s="28"/>
      <c r="Y222" s="26"/>
      <c r="Z222" s="26"/>
      <c r="AA222" s="26"/>
      <c r="AB222" s="26"/>
      <c r="AC222" s="26"/>
      <c r="AD222" s="26"/>
    </row>
    <row r="223">
      <c r="H223" s="5"/>
      <c r="O223" s="5"/>
      <c r="V223" s="5"/>
      <c r="X223" s="29"/>
      <c r="Y223" s="26"/>
      <c r="Z223" s="26"/>
      <c r="AA223" s="26"/>
      <c r="AB223" s="26"/>
      <c r="AC223" s="26"/>
      <c r="AD223" s="26"/>
    </row>
    <row r="224">
      <c r="H224" s="5"/>
      <c r="O224" s="5"/>
      <c r="V224" s="5"/>
      <c r="X224" s="28"/>
      <c r="Y224" s="26"/>
      <c r="Z224" s="26"/>
      <c r="AA224" s="26"/>
      <c r="AB224" s="26"/>
      <c r="AC224" s="26"/>
      <c r="AD224" s="26"/>
    </row>
    <row r="225">
      <c r="H225" s="5"/>
      <c r="O225" s="5"/>
      <c r="V225" s="5"/>
      <c r="X225" s="29"/>
      <c r="Y225" s="26"/>
      <c r="Z225" s="26"/>
      <c r="AA225" s="26"/>
      <c r="AB225" s="26"/>
      <c r="AC225" s="26"/>
      <c r="AD225" s="26"/>
    </row>
    <row r="226">
      <c r="H226" s="5"/>
      <c r="O226" s="5"/>
      <c r="V226" s="5"/>
      <c r="X226" s="28"/>
      <c r="Y226" s="26"/>
      <c r="Z226" s="26"/>
      <c r="AA226" s="26"/>
      <c r="AB226" s="26"/>
      <c r="AC226" s="26"/>
      <c r="AD226" s="26"/>
    </row>
    <row r="227">
      <c r="H227" s="5"/>
      <c r="O227" s="5"/>
      <c r="V227" s="5"/>
      <c r="X227" s="29"/>
      <c r="Y227" s="26"/>
      <c r="Z227" s="26"/>
      <c r="AA227" s="26"/>
      <c r="AB227" s="26"/>
      <c r="AC227" s="26"/>
      <c r="AD227" s="26"/>
    </row>
    <row r="228">
      <c r="H228" s="5"/>
      <c r="O228" s="5"/>
      <c r="V228" s="5"/>
      <c r="X228" s="28"/>
      <c r="Y228" s="26"/>
      <c r="Z228" s="26"/>
      <c r="AA228" s="26"/>
      <c r="AB228" s="26"/>
      <c r="AC228" s="26"/>
      <c r="AD228" s="26"/>
    </row>
    <row r="229">
      <c r="H229" s="5"/>
      <c r="O229" s="5"/>
      <c r="V229" s="5"/>
      <c r="X229" s="29"/>
      <c r="Y229" s="26"/>
      <c r="Z229" s="26"/>
      <c r="AA229" s="26"/>
      <c r="AB229" s="26"/>
      <c r="AC229" s="26"/>
      <c r="AD229" s="26"/>
    </row>
    <row r="230">
      <c r="H230" s="5"/>
      <c r="O230" s="5"/>
      <c r="V230" s="5"/>
      <c r="X230" s="28"/>
      <c r="Y230" s="26"/>
      <c r="Z230" s="26"/>
      <c r="AA230" s="26"/>
      <c r="AB230" s="26"/>
      <c r="AC230" s="26"/>
      <c r="AD230" s="26"/>
    </row>
    <row r="231">
      <c r="H231" s="5"/>
      <c r="O231" s="5"/>
      <c r="V231" s="5"/>
      <c r="X231" s="29"/>
      <c r="Y231" s="26"/>
      <c r="Z231" s="26"/>
      <c r="AA231" s="26"/>
      <c r="AB231" s="26"/>
      <c r="AC231" s="26"/>
      <c r="AD231" s="26"/>
    </row>
    <row r="232">
      <c r="H232" s="5"/>
      <c r="O232" s="5"/>
      <c r="V232" s="5"/>
      <c r="X232" s="28"/>
      <c r="Y232" s="26"/>
      <c r="Z232" s="26"/>
      <c r="AA232" s="26"/>
      <c r="AB232" s="26"/>
      <c r="AC232" s="26"/>
      <c r="AD232" s="26"/>
    </row>
    <row r="233">
      <c r="H233" s="5"/>
      <c r="O233" s="5"/>
      <c r="V233" s="5"/>
      <c r="X233" s="29"/>
      <c r="Y233" s="26"/>
      <c r="Z233" s="26"/>
      <c r="AA233" s="26"/>
      <c r="AB233" s="26"/>
      <c r="AC233" s="26"/>
      <c r="AD233" s="26"/>
    </row>
    <row r="234">
      <c r="H234" s="5"/>
      <c r="O234" s="5"/>
      <c r="V234" s="5"/>
      <c r="X234" s="28"/>
      <c r="Y234" s="26"/>
      <c r="Z234" s="26"/>
      <c r="AA234" s="26"/>
      <c r="AB234" s="26"/>
      <c r="AC234" s="26"/>
      <c r="AD234" s="26"/>
    </row>
    <row r="235">
      <c r="H235" s="5"/>
      <c r="O235" s="5"/>
      <c r="V235" s="5"/>
      <c r="X235" s="29"/>
      <c r="Y235" s="26"/>
      <c r="Z235" s="26"/>
      <c r="AA235" s="26"/>
      <c r="AB235" s="26"/>
      <c r="AC235" s="26"/>
      <c r="AD235" s="26"/>
    </row>
    <row r="236">
      <c r="H236" s="5"/>
      <c r="O236" s="5"/>
      <c r="V236" s="5"/>
      <c r="X236" s="28"/>
      <c r="Y236" s="26"/>
      <c r="Z236" s="26"/>
      <c r="AA236" s="26"/>
      <c r="AB236" s="26"/>
      <c r="AC236" s="26"/>
      <c r="AD236" s="26"/>
    </row>
    <row r="237">
      <c r="H237" s="5"/>
      <c r="O237" s="5"/>
      <c r="V237" s="5"/>
      <c r="X237" s="29"/>
      <c r="Y237" s="26"/>
      <c r="Z237" s="26"/>
      <c r="AA237" s="26"/>
      <c r="AB237" s="26"/>
      <c r="AC237" s="26"/>
      <c r="AD237" s="26"/>
    </row>
    <row r="238">
      <c r="H238" s="5"/>
      <c r="O238" s="5"/>
      <c r="V238" s="5"/>
      <c r="X238" s="28"/>
      <c r="Y238" s="26"/>
      <c r="Z238" s="26"/>
      <c r="AA238" s="26"/>
      <c r="AB238" s="26"/>
      <c r="AC238" s="26"/>
      <c r="AD238" s="26"/>
    </row>
    <row r="239">
      <c r="H239" s="5"/>
      <c r="O239" s="5"/>
      <c r="V239" s="5"/>
      <c r="X239" s="29"/>
      <c r="Y239" s="26"/>
      <c r="Z239" s="26"/>
      <c r="AA239" s="26"/>
      <c r="AB239" s="26"/>
      <c r="AC239" s="26"/>
      <c r="AD239" s="26"/>
    </row>
    <row r="240">
      <c r="H240" s="5"/>
      <c r="O240" s="5"/>
      <c r="V240" s="5"/>
      <c r="X240" s="28"/>
      <c r="Y240" s="26"/>
      <c r="Z240" s="26"/>
      <c r="AA240" s="26"/>
      <c r="AB240" s="26"/>
      <c r="AC240" s="26"/>
      <c r="AD240" s="26"/>
    </row>
    <row r="241">
      <c r="H241" s="5"/>
      <c r="O241" s="5"/>
      <c r="V241" s="5"/>
      <c r="X241" s="29"/>
      <c r="Y241" s="26"/>
      <c r="Z241" s="26"/>
      <c r="AA241" s="26"/>
      <c r="AB241" s="26"/>
      <c r="AC241" s="26"/>
      <c r="AD241" s="26"/>
    </row>
    <row r="242">
      <c r="H242" s="5"/>
      <c r="O242" s="5"/>
      <c r="V242" s="5"/>
      <c r="X242" s="28"/>
      <c r="Y242" s="26"/>
      <c r="Z242" s="26"/>
      <c r="AA242" s="26"/>
      <c r="AB242" s="26"/>
      <c r="AC242" s="26"/>
      <c r="AD242" s="26"/>
    </row>
    <row r="243">
      <c r="H243" s="5"/>
      <c r="O243" s="5"/>
      <c r="V243" s="5"/>
      <c r="X243" s="29"/>
      <c r="Y243" s="26"/>
      <c r="Z243" s="26"/>
      <c r="AA243" s="26"/>
      <c r="AB243" s="26"/>
      <c r="AC243" s="26"/>
      <c r="AD243" s="26"/>
    </row>
    <row r="244">
      <c r="H244" s="5"/>
      <c r="O244" s="5"/>
      <c r="V244" s="5"/>
      <c r="X244" s="28"/>
      <c r="Y244" s="26"/>
      <c r="Z244" s="26"/>
      <c r="AA244" s="26"/>
      <c r="AB244" s="26"/>
      <c r="AC244" s="26"/>
      <c r="AD244" s="26"/>
    </row>
    <row r="245">
      <c r="H245" s="5"/>
      <c r="O245" s="5"/>
      <c r="V245" s="5"/>
      <c r="X245" s="29"/>
      <c r="Y245" s="26"/>
      <c r="Z245" s="26"/>
      <c r="AA245" s="26"/>
      <c r="AB245" s="26"/>
      <c r="AC245" s="26"/>
      <c r="AD245" s="26"/>
    </row>
    <row r="246">
      <c r="H246" s="5"/>
      <c r="O246" s="5"/>
      <c r="V246" s="5"/>
      <c r="X246" s="28"/>
      <c r="Y246" s="26"/>
      <c r="Z246" s="26"/>
      <c r="AA246" s="26"/>
      <c r="AB246" s="26"/>
      <c r="AC246" s="26"/>
      <c r="AD246" s="26"/>
    </row>
    <row r="247">
      <c r="H247" s="5"/>
      <c r="O247" s="5"/>
      <c r="V247" s="5"/>
      <c r="X247" s="29"/>
      <c r="Y247" s="26"/>
      <c r="Z247" s="26"/>
      <c r="AA247" s="26"/>
      <c r="AB247" s="26"/>
      <c r="AC247" s="26"/>
      <c r="AD247" s="26"/>
    </row>
    <row r="248">
      <c r="H248" s="5"/>
      <c r="O248" s="5"/>
      <c r="V248" s="5"/>
      <c r="X248" s="28"/>
      <c r="Y248" s="26"/>
      <c r="Z248" s="26"/>
      <c r="AA248" s="26"/>
      <c r="AB248" s="26"/>
      <c r="AC248" s="26"/>
      <c r="AD248" s="26"/>
    </row>
    <row r="249">
      <c r="H249" s="5"/>
      <c r="O249" s="5"/>
      <c r="V249" s="5"/>
      <c r="X249" s="29"/>
      <c r="Y249" s="26"/>
      <c r="Z249" s="26"/>
      <c r="AA249" s="26"/>
      <c r="AB249" s="26"/>
      <c r="AC249" s="26"/>
      <c r="AD249" s="26"/>
    </row>
    <row r="250">
      <c r="H250" s="5"/>
      <c r="O250" s="5"/>
      <c r="V250" s="5"/>
      <c r="X250" s="28"/>
      <c r="Y250" s="26"/>
      <c r="Z250" s="26"/>
      <c r="AA250" s="26"/>
      <c r="AB250" s="26"/>
      <c r="AC250" s="26"/>
      <c r="AD250" s="26"/>
    </row>
    <row r="251">
      <c r="H251" s="5"/>
      <c r="O251" s="5"/>
      <c r="V251" s="5"/>
      <c r="X251" s="29"/>
      <c r="Y251" s="26"/>
      <c r="Z251" s="26"/>
      <c r="AA251" s="26"/>
      <c r="AB251" s="26"/>
      <c r="AC251" s="26"/>
      <c r="AD251" s="26"/>
    </row>
    <row r="252">
      <c r="H252" s="5"/>
      <c r="O252" s="5"/>
      <c r="V252" s="5"/>
      <c r="X252" s="28"/>
      <c r="Y252" s="26"/>
      <c r="Z252" s="26"/>
      <c r="AA252" s="26"/>
      <c r="AB252" s="26"/>
      <c r="AC252" s="26"/>
      <c r="AD252" s="26"/>
    </row>
    <row r="253">
      <c r="H253" s="5"/>
      <c r="O253" s="5"/>
      <c r="V253" s="5"/>
      <c r="X253" s="29"/>
      <c r="Y253" s="26"/>
      <c r="Z253" s="26"/>
      <c r="AA253" s="26"/>
      <c r="AB253" s="26"/>
      <c r="AC253" s="26"/>
      <c r="AD253" s="26"/>
    </row>
    <row r="254">
      <c r="H254" s="5"/>
      <c r="O254" s="5"/>
      <c r="V254" s="5"/>
      <c r="X254" s="28"/>
      <c r="Y254" s="26"/>
      <c r="Z254" s="26"/>
      <c r="AA254" s="26"/>
      <c r="AB254" s="26"/>
      <c r="AC254" s="26"/>
      <c r="AD254" s="26"/>
    </row>
    <row r="255">
      <c r="H255" s="5"/>
      <c r="O255" s="5"/>
      <c r="V255" s="5"/>
      <c r="X255" s="29"/>
      <c r="Y255" s="26"/>
      <c r="Z255" s="26"/>
      <c r="AA255" s="26"/>
      <c r="AB255" s="26"/>
      <c r="AC255" s="26"/>
      <c r="AD255" s="26"/>
    </row>
    <row r="256">
      <c r="H256" s="5"/>
      <c r="O256" s="5"/>
      <c r="V256" s="5"/>
      <c r="X256" s="28"/>
      <c r="Y256" s="26"/>
      <c r="Z256" s="26"/>
      <c r="AA256" s="26"/>
      <c r="AB256" s="26"/>
      <c r="AC256" s="26"/>
      <c r="AD256" s="26"/>
    </row>
    <row r="257">
      <c r="H257" s="5"/>
      <c r="O257" s="5"/>
      <c r="V257" s="5"/>
      <c r="X257" s="29"/>
      <c r="Y257" s="26"/>
      <c r="Z257" s="26"/>
      <c r="AA257" s="26"/>
      <c r="AB257" s="26"/>
      <c r="AC257" s="26"/>
      <c r="AD257" s="26"/>
    </row>
    <row r="258">
      <c r="H258" s="5"/>
      <c r="O258" s="5"/>
      <c r="V258" s="5"/>
      <c r="X258" s="28"/>
      <c r="Y258" s="26"/>
      <c r="Z258" s="26"/>
      <c r="AA258" s="26"/>
      <c r="AB258" s="26"/>
      <c r="AC258" s="26"/>
      <c r="AD258" s="26"/>
    </row>
    <row r="259">
      <c r="H259" s="5"/>
      <c r="O259" s="5"/>
      <c r="V259" s="5"/>
      <c r="X259" s="29"/>
      <c r="Y259" s="26"/>
      <c r="Z259" s="26"/>
      <c r="AA259" s="26"/>
      <c r="AB259" s="26"/>
      <c r="AC259" s="26"/>
      <c r="AD259" s="26"/>
    </row>
    <row r="260">
      <c r="H260" s="5"/>
      <c r="O260" s="5"/>
      <c r="V260" s="5"/>
      <c r="X260" s="28"/>
      <c r="Y260" s="26"/>
      <c r="Z260" s="26"/>
      <c r="AA260" s="26"/>
      <c r="AB260" s="26"/>
      <c r="AC260" s="26"/>
      <c r="AD260" s="26"/>
    </row>
    <row r="261">
      <c r="H261" s="5"/>
      <c r="O261" s="5"/>
      <c r="V261" s="5"/>
      <c r="X261" s="29"/>
      <c r="Y261" s="26"/>
      <c r="Z261" s="26"/>
      <c r="AA261" s="26"/>
      <c r="AB261" s="26"/>
      <c r="AC261" s="26"/>
      <c r="AD261" s="26"/>
    </row>
    <row r="262">
      <c r="H262" s="5"/>
      <c r="O262" s="5"/>
      <c r="V262" s="5"/>
      <c r="X262" s="28"/>
      <c r="Y262" s="26"/>
      <c r="Z262" s="26"/>
      <c r="AA262" s="26"/>
      <c r="AB262" s="26"/>
      <c r="AC262" s="26"/>
      <c r="AD262" s="26"/>
    </row>
    <row r="263">
      <c r="H263" s="5"/>
      <c r="O263" s="5"/>
      <c r="V263" s="5"/>
      <c r="X263" s="29"/>
      <c r="Y263" s="26"/>
      <c r="Z263" s="26"/>
      <c r="AA263" s="26"/>
      <c r="AB263" s="26"/>
      <c r="AC263" s="26"/>
      <c r="AD263" s="26"/>
    </row>
    <row r="264">
      <c r="H264" s="5"/>
      <c r="O264" s="5"/>
      <c r="V264" s="5"/>
      <c r="X264" s="28"/>
      <c r="Y264" s="26"/>
      <c r="Z264" s="26"/>
      <c r="AA264" s="26"/>
      <c r="AB264" s="26"/>
      <c r="AC264" s="26"/>
      <c r="AD264" s="26"/>
    </row>
    <row r="265">
      <c r="H265" s="5"/>
      <c r="O265" s="5"/>
      <c r="V265" s="5"/>
      <c r="X265" s="29"/>
      <c r="Y265" s="26"/>
      <c r="Z265" s="26"/>
      <c r="AA265" s="26"/>
      <c r="AB265" s="26"/>
      <c r="AC265" s="26"/>
      <c r="AD265" s="26"/>
    </row>
    <row r="266">
      <c r="H266" s="5"/>
      <c r="O266" s="5"/>
      <c r="V266" s="5"/>
      <c r="X266" s="28"/>
      <c r="Y266" s="26"/>
      <c r="Z266" s="26"/>
      <c r="AA266" s="26"/>
      <c r="AB266" s="26"/>
      <c r="AC266" s="26"/>
      <c r="AD266" s="26"/>
    </row>
    <row r="267">
      <c r="H267" s="5"/>
      <c r="O267" s="5"/>
      <c r="V267" s="5"/>
      <c r="X267" s="29"/>
      <c r="Y267" s="26"/>
      <c r="Z267" s="26"/>
      <c r="AA267" s="26"/>
      <c r="AB267" s="26"/>
      <c r="AC267" s="26"/>
      <c r="AD267" s="26"/>
    </row>
    <row r="268">
      <c r="H268" s="5"/>
      <c r="O268" s="5"/>
      <c r="V268" s="5"/>
      <c r="X268" s="28"/>
      <c r="Y268" s="26"/>
      <c r="Z268" s="26"/>
      <c r="AA268" s="26"/>
      <c r="AB268" s="26"/>
      <c r="AC268" s="26"/>
      <c r="AD268" s="26"/>
    </row>
    <row r="269">
      <c r="H269" s="5"/>
      <c r="O269" s="5"/>
      <c r="V269" s="5"/>
      <c r="X269" s="29"/>
      <c r="Y269" s="26"/>
      <c r="Z269" s="26"/>
      <c r="AA269" s="26"/>
      <c r="AB269" s="26"/>
      <c r="AC269" s="26"/>
      <c r="AD269" s="26"/>
    </row>
    <row r="270">
      <c r="H270" s="5"/>
      <c r="O270" s="5"/>
      <c r="V270" s="5"/>
      <c r="X270" s="28"/>
      <c r="Y270" s="26"/>
      <c r="Z270" s="26"/>
      <c r="AA270" s="26"/>
      <c r="AB270" s="26"/>
      <c r="AC270" s="26"/>
      <c r="AD270" s="26"/>
    </row>
    <row r="271">
      <c r="H271" s="5"/>
      <c r="O271" s="5"/>
      <c r="V271" s="5"/>
      <c r="X271" s="29"/>
      <c r="Y271" s="26"/>
      <c r="Z271" s="26"/>
      <c r="AA271" s="26"/>
      <c r="AB271" s="26"/>
      <c r="AC271" s="26"/>
      <c r="AD271" s="26"/>
    </row>
    <row r="272">
      <c r="H272" s="5"/>
      <c r="O272" s="5"/>
      <c r="V272" s="5"/>
      <c r="X272" s="28"/>
      <c r="Y272" s="26"/>
      <c r="Z272" s="26"/>
      <c r="AA272" s="26"/>
      <c r="AB272" s="26"/>
      <c r="AC272" s="26"/>
      <c r="AD272" s="26"/>
    </row>
    <row r="273">
      <c r="H273" s="5"/>
      <c r="O273" s="5"/>
      <c r="V273" s="5"/>
      <c r="X273" s="29"/>
      <c r="Y273" s="26"/>
      <c r="Z273" s="26"/>
      <c r="AA273" s="26"/>
      <c r="AB273" s="26"/>
      <c r="AC273" s="26"/>
      <c r="AD273" s="26"/>
    </row>
    <row r="274">
      <c r="H274" s="5"/>
      <c r="O274" s="5"/>
      <c r="V274" s="5"/>
      <c r="X274" s="28"/>
      <c r="Y274" s="26"/>
      <c r="Z274" s="26"/>
      <c r="AA274" s="26"/>
      <c r="AB274" s="26"/>
      <c r="AC274" s="26"/>
      <c r="AD274" s="26"/>
    </row>
    <row r="275">
      <c r="H275" s="5"/>
      <c r="O275" s="5"/>
      <c r="V275" s="5"/>
      <c r="X275" s="29"/>
      <c r="Y275" s="26"/>
      <c r="Z275" s="26"/>
      <c r="AA275" s="26"/>
      <c r="AB275" s="26"/>
      <c r="AC275" s="26"/>
      <c r="AD275" s="26"/>
    </row>
    <row r="276">
      <c r="H276" s="5"/>
      <c r="O276" s="5"/>
      <c r="V276" s="5"/>
      <c r="X276" s="28"/>
      <c r="Y276" s="26"/>
      <c r="Z276" s="26"/>
      <c r="AA276" s="26"/>
      <c r="AB276" s="26"/>
      <c r="AC276" s="26"/>
      <c r="AD276" s="26"/>
    </row>
    <row r="277">
      <c r="H277" s="5"/>
      <c r="O277" s="5"/>
      <c r="V277" s="5"/>
      <c r="X277" s="29"/>
      <c r="Y277" s="26"/>
      <c r="Z277" s="26"/>
      <c r="AA277" s="26"/>
      <c r="AB277" s="26"/>
      <c r="AC277" s="26"/>
      <c r="AD277" s="26"/>
    </row>
    <row r="278">
      <c r="H278" s="5"/>
      <c r="O278" s="5"/>
      <c r="V278" s="5"/>
      <c r="X278" s="28"/>
      <c r="Y278" s="26"/>
      <c r="Z278" s="26"/>
      <c r="AA278" s="26"/>
      <c r="AB278" s="26"/>
      <c r="AC278" s="26"/>
      <c r="AD278" s="26"/>
    </row>
    <row r="279">
      <c r="H279" s="5"/>
      <c r="O279" s="5"/>
      <c r="V279" s="5"/>
      <c r="X279" s="29"/>
      <c r="Y279" s="26"/>
      <c r="Z279" s="26"/>
      <c r="AA279" s="26"/>
      <c r="AB279" s="26"/>
      <c r="AC279" s="26"/>
      <c r="AD279" s="26"/>
    </row>
    <row r="280">
      <c r="H280" s="5"/>
      <c r="O280" s="5"/>
      <c r="V280" s="5"/>
      <c r="X280" s="28"/>
      <c r="Y280" s="26"/>
      <c r="Z280" s="26"/>
      <c r="AA280" s="26"/>
      <c r="AB280" s="26"/>
      <c r="AC280" s="26"/>
      <c r="AD280" s="26"/>
    </row>
    <row r="281">
      <c r="H281" s="5"/>
      <c r="O281" s="5"/>
      <c r="V281" s="5"/>
      <c r="X281" s="29"/>
      <c r="Y281" s="26"/>
      <c r="Z281" s="26"/>
      <c r="AA281" s="26"/>
      <c r="AB281" s="26"/>
      <c r="AC281" s="26"/>
      <c r="AD281" s="26"/>
    </row>
    <row r="282">
      <c r="H282" s="5"/>
      <c r="O282" s="5"/>
      <c r="V282" s="5"/>
      <c r="X282" s="28"/>
      <c r="Y282" s="26"/>
      <c r="Z282" s="26"/>
      <c r="AA282" s="26"/>
      <c r="AB282" s="26"/>
      <c r="AC282" s="26"/>
      <c r="AD282" s="26"/>
    </row>
    <row r="283">
      <c r="H283" s="5"/>
      <c r="O283" s="5"/>
      <c r="V283" s="5"/>
      <c r="X283" s="29"/>
      <c r="Y283" s="26"/>
      <c r="Z283" s="26"/>
      <c r="AA283" s="26"/>
      <c r="AB283" s="26"/>
      <c r="AC283" s="26"/>
      <c r="AD283" s="26"/>
    </row>
    <row r="284">
      <c r="H284" s="5"/>
      <c r="O284" s="5"/>
      <c r="V284" s="5"/>
      <c r="X284" s="28"/>
      <c r="Y284" s="26"/>
      <c r="Z284" s="26"/>
      <c r="AA284" s="26"/>
      <c r="AB284" s="26"/>
      <c r="AC284" s="26"/>
      <c r="AD284" s="26"/>
    </row>
    <row r="285">
      <c r="H285" s="5"/>
      <c r="O285" s="5"/>
      <c r="V285" s="5"/>
      <c r="X285" s="29"/>
      <c r="Y285" s="26"/>
      <c r="Z285" s="26"/>
      <c r="AA285" s="26"/>
      <c r="AB285" s="26"/>
      <c r="AC285" s="26"/>
      <c r="AD285" s="26"/>
    </row>
    <row r="286">
      <c r="H286" s="5"/>
      <c r="O286" s="5"/>
      <c r="V286" s="5"/>
      <c r="X286" s="28"/>
      <c r="Y286" s="26"/>
      <c r="Z286" s="26"/>
      <c r="AA286" s="26"/>
      <c r="AB286" s="26"/>
      <c r="AC286" s="26"/>
      <c r="AD286" s="26"/>
    </row>
    <row r="287">
      <c r="H287" s="5"/>
      <c r="O287" s="5"/>
      <c r="V287" s="5"/>
      <c r="X287" s="29"/>
      <c r="Y287" s="26"/>
      <c r="Z287" s="26"/>
      <c r="AA287" s="26"/>
      <c r="AB287" s="26"/>
      <c r="AC287" s="26"/>
      <c r="AD287" s="26"/>
    </row>
    <row r="288">
      <c r="H288" s="5"/>
      <c r="O288" s="5"/>
      <c r="V288" s="5"/>
      <c r="X288" s="28"/>
      <c r="Y288" s="26"/>
      <c r="Z288" s="26"/>
      <c r="AA288" s="26"/>
      <c r="AB288" s="26"/>
      <c r="AC288" s="26"/>
      <c r="AD288" s="26"/>
    </row>
    <row r="289">
      <c r="H289" s="5"/>
      <c r="O289" s="5"/>
      <c r="V289" s="5"/>
      <c r="X289" s="29"/>
      <c r="Y289" s="26"/>
      <c r="Z289" s="26"/>
      <c r="AA289" s="26"/>
      <c r="AB289" s="26"/>
      <c r="AC289" s="26"/>
      <c r="AD289" s="26"/>
    </row>
    <row r="290">
      <c r="H290" s="5"/>
      <c r="O290" s="5"/>
      <c r="V290" s="5"/>
      <c r="X290" s="28"/>
      <c r="Y290" s="26"/>
      <c r="Z290" s="26"/>
      <c r="AA290" s="26"/>
      <c r="AB290" s="26"/>
      <c r="AC290" s="26"/>
      <c r="AD290" s="26"/>
    </row>
    <row r="291">
      <c r="H291" s="5"/>
      <c r="O291" s="5"/>
      <c r="V291" s="5"/>
      <c r="X291" s="29"/>
      <c r="Y291" s="26"/>
      <c r="Z291" s="26"/>
      <c r="AA291" s="26"/>
      <c r="AB291" s="26"/>
      <c r="AC291" s="26"/>
      <c r="AD291" s="26"/>
    </row>
    <row r="292">
      <c r="H292" s="5"/>
      <c r="O292" s="5"/>
      <c r="V292" s="5"/>
      <c r="X292" s="28"/>
      <c r="Y292" s="26"/>
      <c r="Z292" s="26"/>
      <c r="AA292" s="26"/>
      <c r="AB292" s="26"/>
      <c r="AC292" s="26"/>
      <c r="AD292" s="26"/>
    </row>
    <row r="293">
      <c r="H293" s="5"/>
      <c r="O293" s="5"/>
      <c r="V293" s="5"/>
      <c r="X293" s="29"/>
      <c r="Y293" s="26"/>
      <c r="Z293" s="26"/>
      <c r="AA293" s="26"/>
      <c r="AB293" s="26"/>
      <c r="AC293" s="26"/>
      <c r="AD293" s="26"/>
    </row>
    <row r="294">
      <c r="H294" s="5"/>
      <c r="O294" s="5"/>
      <c r="V294" s="5"/>
      <c r="X294" s="28"/>
      <c r="Y294" s="26"/>
      <c r="Z294" s="26"/>
      <c r="AA294" s="26"/>
      <c r="AB294" s="26"/>
      <c r="AC294" s="26"/>
      <c r="AD294" s="26"/>
    </row>
    <row r="295">
      <c r="H295" s="5"/>
      <c r="O295" s="5"/>
      <c r="V295" s="5"/>
      <c r="X295" s="29"/>
      <c r="Y295" s="26"/>
      <c r="Z295" s="26"/>
      <c r="AA295" s="26"/>
      <c r="AB295" s="26"/>
      <c r="AC295" s="26"/>
      <c r="AD295" s="26"/>
    </row>
    <row r="296">
      <c r="H296" s="5"/>
      <c r="O296" s="5"/>
      <c r="V296" s="5"/>
      <c r="X296" s="28"/>
      <c r="Y296" s="26"/>
      <c r="Z296" s="26"/>
      <c r="AA296" s="26"/>
      <c r="AB296" s="26"/>
      <c r="AC296" s="26"/>
      <c r="AD296" s="26"/>
    </row>
    <row r="297">
      <c r="H297" s="5"/>
      <c r="O297" s="5"/>
      <c r="V297" s="5"/>
      <c r="X297" s="29"/>
      <c r="Y297" s="26"/>
      <c r="Z297" s="26"/>
      <c r="AA297" s="26"/>
      <c r="AB297" s="26"/>
      <c r="AC297" s="26"/>
      <c r="AD297" s="26"/>
    </row>
    <row r="298">
      <c r="H298" s="5"/>
      <c r="O298" s="5"/>
      <c r="V298" s="5"/>
      <c r="X298" s="28"/>
      <c r="Y298" s="26"/>
      <c r="Z298" s="26"/>
      <c r="AA298" s="26"/>
      <c r="AB298" s="26"/>
      <c r="AC298" s="26"/>
      <c r="AD298" s="26"/>
    </row>
    <row r="299">
      <c r="H299" s="5"/>
      <c r="O299" s="5"/>
      <c r="V299" s="5"/>
      <c r="X299" s="29"/>
      <c r="Y299" s="26"/>
      <c r="Z299" s="26"/>
      <c r="AA299" s="26"/>
      <c r="AB299" s="26"/>
      <c r="AC299" s="26"/>
      <c r="AD299" s="26"/>
    </row>
    <row r="300">
      <c r="H300" s="5"/>
      <c r="O300" s="5"/>
      <c r="V300" s="5"/>
      <c r="X300" s="28"/>
      <c r="Y300" s="26"/>
      <c r="Z300" s="26"/>
      <c r="AA300" s="26"/>
      <c r="AB300" s="26"/>
      <c r="AC300" s="26"/>
      <c r="AD300" s="26"/>
    </row>
    <row r="301">
      <c r="H301" s="5"/>
      <c r="O301" s="5"/>
      <c r="V301" s="5"/>
      <c r="X301" s="29"/>
      <c r="Y301" s="26"/>
      <c r="Z301" s="26"/>
      <c r="AA301" s="26"/>
      <c r="AB301" s="26"/>
      <c r="AC301" s="26"/>
      <c r="AD301" s="26"/>
    </row>
    <row r="302">
      <c r="H302" s="5"/>
      <c r="O302" s="5"/>
      <c r="V302" s="5"/>
      <c r="X302" s="28"/>
      <c r="Y302" s="26"/>
      <c r="Z302" s="26"/>
      <c r="AA302" s="26"/>
      <c r="AB302" s="26"/>
      <c r="AC302" s="26"/>
      <c r="AD302" s="26"/>
    </row>
    <row r="303">
      <c r="H303" s="5"/>
      <c r="O303" s="5"/>
      <c r="V303" s="5"/>
      <c r="X303" s="29"/>
      <c r="Y303" s="26"/>
      <c r="Z303" s="26"/>
      <c r="AA303" s="26"/>
      <c r="AB303" s="26"/>
      <c r="AC303" s="26"/>
      <c r="AD303" s="26"/>
    </row>
    <row r="304">
      <c r="H304" s="5"/>
      <c r="O304" s="5"/>
      <c r="V304" s="5"/>
      <c r="X304" s="28"/>
      <c r="Y304" s="26"/>
      <c r="Z304" s="26"/>
      <c r="AA304" s="26"/>
      <c r="AB304" s="26"/>
      <c r="AC304" s="26"/>
      <c r="AD304" s="26"/>
    </row>
    <row r="305">
      <c r="H305" s="5"/>
      <c r="O305" s="5"/>
      <c r="V305" s="5"/>
      <c r="X305" s="29"/>
      <c r="Y305" s="26"/>
      <c r="Z305" s="26"/>
      <c r="AA305" s="26"/>
      <c r="AB305" s="26"/>
      <c r="AC305" s="26"/>
      <c r="AD305" s="26"/>
    </row>
    <row r="306">
      <c r="H306" s="5"/>
      <c r="O306" s="5"/>
      <c r="V306" s="5"/>
      <c r="X306" s="28"/>
      <c r="Y306" s="26"/>
      <c r="Z306" s="26"/>
      <c r="AA306" s="26"/>
      <c r="AB306" s="26"/>
      <c r="AC306" s="26"/>
      <c r="AD306" s="26"/>
    </row>
    <row r="307">
      <c r="H307" s="5"/>
      <c r="O307" s="5"/>
      <c r="V307" s="5"/>
      <c r="X307" s="29"/>
      <c r="Y307" s="26"/>
      <c r="Z307" s="26"/>
      <c r="AA307" s="26"/>
      <c r="AB307" s="26"/>
      <c r="AC307" s="26"/>
      <c r="AD307" s="26"/>
    </row>
    <row r="308">
      <c r="H308" s="5"/>
      <c r="O308" s="5"/>
      <c r="V308" s="5"/>
      <c r="X308" s="28"/>
      <c r="Y308" s="26"/>
      <c r="Z308" s="26"/>
      <c r="AA308" s="26"/>
      <c r="AB308" s="26"/>
      <c r="AC308" s="26"/>
      <c r="AD308" s="26"/>
    </row>
    <row r="309">
      <c r="H309" s="5"/>
      <c r="O309" s="5"/>
      <c r="V309" s="5"/>
      <c r="X309" s="29"/>
      <c r="Y309" s="26"/>
      <c r="Z309" s="26"/>
      <c r="AA309" s="26"/>
      <c r="AB309" s="26"/>
      <c r="AC309" s="26"/>
      <c r="AD309" s="26"/>
    </row>
    <row r="310">
      <c r="H310" s="5"/>
      <c r="O310" s="5"/>
      <c r="V310" s="5"/>
      <c r="X310" s="28"/>
      <c r="Y310" s="26"/>
      <c r="Z310" s="26"/>
      <c r="AA310" s="26"/>
      <c r="AB310" s="26"/>
      <c r="AC310" s="26"/>
      <c r="AD310" s="26"/>
    </row>
    <row r="311">
      <c r="H311" s="5"/>
      <c r="O311" s="5"/>
      <c r="V311" s="5"/>
      <c r="X311" s="29"/>
      <c r="Y311" s="26"/>
      <c r="Z311" s="26"/>
      <c r="AA311" s="26"/>
      <c r="AB311" s="26"/>
      <c r="AC311" s="26"/>
      <c r="AD311" s="26"/>
    </row>
    <row r="312">
      <c r="H312" s="5"/>
      <c r="O312" s="5"/>
      <c r="V312" s="5"/>
      <c r="X312" s="28"/>
      <c r="Y312" s="26"/>
      <c r="Z312" s="26"/>
      <c r="AA312" s="26"/>
      <c r="AB312" s="26"/>
      <c r="AC312" s="26"/>
      <c r="AD312" s="26"/>
    </row>
    <row r="313">
      <c r="H313" s="5"/>
      <c r="O313" s="5"/>
      <c r="V313" s="5"/>
      <c r="X313" s="29"/>
      <c r="Y313" s="26"/>
      <c r="Z313" s="26"/>
      <c r="AA313" s="26"/>
      <c r="AB313" s="26"/>
      <c r="AC313" s="26"/>
      <c r="AD313" s="26"/>
    </row>
    <row r="314">
      <c r="H314" s="5"/>
      <c r="O314" s="5"/>
      <c r="V314" s="5"/>
      <c r="X314" s="28"/>
      <c r="Y314" s="26"/>
      <c r="Z314" s="26"/>
      <c r="AA314" s="26"/>
      <c r="AB314" s="26"/>
      <c r="AC314" s="26"/>
      <c r="AD314" s="26"/>
    </row>
    <row r="315">
      <c r="H315" s="5"/>
      <c r="O315" s="5"/>
      <c r="V315" s="5"/>
      <c r="X315" s="29"/>
      <c r="Y315" s="26"/>
      <c r="Z315" s="26"/>
      <c r="AA315" s="26"/>
      <c r="AB315" s="26"/>
      <c r="AC315" s="26"/>
      <c r="AD315" s="26"/>
    </row>
    <row r="316">
      <c r="H316" s="5"/>
      <c r="O316" s="5"/>
      <c r="V316" s="5"/>
      <c r="X316" s="28"/>
      <c r="Y316" s="26"/>
      <c r="Z316" s="26"/>
      <c r="AA316" s="26"/>
      <c r="AB316" s="26"/>
      <c r="AC316" s="26"/>
      <c r="AD316" s="26"/>
    </row>
    <row r="317">
      <c r="H317" s="5"/>
      <c r="O317" s="5"/>
      <c r="V317" s="5"/>
      <c r="X317" s="29"/>
      <c r="Y317" s="26"/>
      <c r="Z317" s="26"/>
      <c r="AA317" s="26"/>
      <c r="AB317" s="26"/>
      <c r="AC317" s="26"/>
      <c r="AD317" s="26"/>
    </row>
    <row r="318">
      <c r="H318" s="5"/>
      <c r="O318" s="5"/>
      <c r="V318" s="5"/>
      <c r="X318" s="28"/>
      <c r="Y318" s="26"/>
      <c r="Z318" s="26"/>
      <c r="AA318" s="26"/>
      <c r="AB318" s="26"/>
      <c r="AC318" s="26"/>
      <c r="AD318" s="26"/>
    </row>
    <row r="319">
      <c r="H319" s="5"/>
      <c r="O319" s="5"/>
      <c r="V319" s="5"/>
      <c r="X319" s="29"/>
      <c r="Y319" s="26"/>
      <c r="Z319" s="26"/>
      <c r="AA319" s="26"/>
      <c r="AB319" s="26"/>
      <c r="AC319" s="26"/>
      <c r="AD319" s="26"/>
    </row>
    <row r="320">
      <c r="H320" s="5"/>
      <c r="O320" s="5"/>
      <c r="V320" s="5"/>
      <c r="X320" s="28"/>
      <c r="Y320" s="26"/>
      <c r="Z320" s="26"/>
      <c r="AA320" s="26"/>
      <c r="AB320" s="26"/>
      <c r="AC320" s="26"/>
      <c r="AD320" s="26"/>
    </row>
    <row r="321">
      <c r="H321" s="5"/>
      <c r="O321" s="5"/>
      <c r="V321" s="5"/>
      <c r="X321" s="29"/>
      <c r="Y321" s="26"/>
      <c r="Z321" s="26"/>
      <c r="AA321" s="26"/>
      <c r="AB321" s="26"/>
      <c r="AC321" s="26"/>
      <c r="AD321" s="26"/>
    </row>
    <row r="322">
      <c r="H322" s="5"/>
      <c r="O322" s="5"/>
      <c r="V322" s="5"/>
      <c r="X322" s="28"/>
      <c r="Y322" s="26"/>
      <c r="Z322" s="26"/>
      <c r="AA322" s="26"/>
      <c r="AB322" s="26"/>
      <c r="AC322" s="26"/>
      <c r="AD322" s="26"/>
    </row>
    <row r="323">
      <c r="H323" s="5"/>
      <c r="O323" s="5"/>
      <c r="V323" s="5"/>
      <c r="X323" s="29"/>
      <c r="Y323" s="26"/>
      <c r="Z323" s="26"/>
      <c r="AA323" s="26"/>
      <c r="AB323" s="26"/>
      <c r="AC323" s="26"/>
      <c r="AD323" s="26"/>
    </row>
    <row r="324">
      <c r="H324" s="5"/>
      <c r="O324" s="5"/>
      <c r="V324" s="5"/>
      <c r="X324" s="28"/>
      <c r="Y324" s="26"/>
      <c r="Z324" s="26"/>
      <c r="AA324" s="26"/>
      <c r="AB324" s="26"/>
      <c r="AC324" s="26"/>
      <c r="AD324" s="26"/>
    </row>
    <row r="325">
      <c r="H325" s="5"/>
      <c r="O325" s="5"/>
      <c r="V325" s="5"/>
      <c r="X325" s="29"/>
      <c r="Y325" s="26"/>
      <c r="Z325" s="26"/>
      <c r="AA325" s="26"/>
      <c r="AB325" s="26"/>
      <c r="AC325" s="26"/>
      <c r="AD325" s="26"/>
    </row>
    <row r="326">
      <c r="H326" s="5"/>
      <c r="O326" s="5"/>
      <c r="V326" s="5"/>
      <c r="X326" s="28"/>
      <c r="Y326" s="26"/>
      <c r="Z326" s="26"/>
      <c r="AA326" s="26"/>
      <c r="AB326" s="26"/>
      <c r="AC326" s="26"/>
      <c r="AD326" s="26"/>
    </row>
    <row r="327">
      <c r="H327" s="5"/>
      <c r="O327" s="5"/>
      <c r="V327" s="5"/>
      <c r="X327" s="29"/>
      <c r="Y327" s="26"/>
      <c r="Z327" s="26"/>
      <c r="AA327" s="26"/>
      <c r="AB327" s="26"/>
      <c r="AC327" s="26"/>
      <c r="AD327" s="26"/>
    </row>
    <row r="328">
      <c r="H328" s="5"/>
      <c r="O328" s="5"/>
      <c r="V328" s="5"/>
      <c r="X328" s="28"/>
      <c r="Y328" s="26"/>
      <c r="Z328" s="26"/>
      <c r="AA328" s="26"/>
      <c r="AB328" s="26"/>
      <c r="AC328" s="26"/>
      <c r="AD328" s="26"/>
    </row>
    <row r="329">
      <c r="H329" s="5"/>
      <c r="O329" s="5"/>
      <c r="V329" s="5"/>
      <c r="X329" s="29"/>
      <c r="Y329" s="26"/>
      <c r="Z329" s="26"/>
      <c r="AA329" s="26"/>
      <c r="AB329" s="26"/>
      <c r="AC329" s="26"/>
      <c r="AD329" s="26"/>
    </row>
    <row r="330">
      <c r="H330" s="5"/>
      <c r="O330" s="5"/>
      <c r="V330" s="5"/>
      <c r="X330" s="28"/>
      <c r="Y330" s="26"/>
      <c r="Z330" s="26"/>
      <c r="AA330" s="26"/>
      <c r="AB330" s="26"/>
      <c r="AC330" s="26"/>
      <c r="AD330" s="26"/>
    </row>
    <row r="331">
      <c r="H331" s="5"/>
      <c r="O331" s="5"/>
      <c r="V331" s="5"/>
      <c r="X331" s="29"/>
      <c r="Y331" s="26"/>
      <c r="Z331" s="26"/>
      <c r="AA331" s="26"/>
      <c r="AB331" s="26"/>
      <c r="AC331" s="26"/>
      <c r="AD331" s="26"/>
    </row>
    <row r="332">
      <c r="H332" s="5"/>
      <c r="O332" s="5"/>
      <c r="V332" s="5"/>
      <c r="X332" s="28"/>
      <c r="Y332" s="26"/>
      <c r="Z332" s="26"/>
      <c r="AA332" s="26"/>
      <c r="AB332" s="26"/>
      <c r="AC332" s="26"/>
      <c r="AD332" s="26"/>
    </row>
    <row r="333">
      <c r="H333" s="5"/>
      <c r="O333" s="5"/>
      <c r="V333" s="5"/>
      <c r="X333" s="29"/>
      <c r="Y333" s="26"/>
      <c r="Z333" s="26"/>
      <c r="AA333" s="26"/>
      <c r="AB333" s="26"/>
      <c r="AC333" s="26"/>
      <c r="AD333" s="26"/>
    </row>
    <row r="334">
      <c r="H334" s="5"/>
      <c r="O334" s="5"/>
      <c r="V334" s="5"/>
      <c r="X334" s="28"/>
      <c r="Y334" s="26"/>
      <c r="Z334" s="26"/>
      <c r="AA334" s="26"/>
      <c r="AB334" s="26"/>
      <c r="AC334" s="26"/>
      <c r="AD334" s="26"/>
    </row>
    <row r="335">
      <c r="H335" s="5"/>
      <c r="O335" s="5"/>
      <c r="V335" s="5"/>
      <c r="X335" s="29"/>
      <c r="Y335" s="26"/>
      <c r="Z335" s="26"/>
      <c r="AA335" s="26"/>
      <c r="AB335" s="26"/>
      <c r="AC335" s="26"/>
      <c r="AD335" s="26"/>
    </row>
    <row r="336">
      <c r="H336" s="5"/>
      <c r="O336" s="5"/>
      <c r="V336" s="5"/>
      <c r="X336" s="28"/>
      <c r="Y336" s="26"/>
      <c r="Z336" s="26"/>
      <c r="AA336" s="26"/>
      <c r="AB336" s="26"/>
      <c r="AC336" s="26"/>
      <c r="AD336" s="26"/>
    </row>
    <row r="337">
      <c r="H337" s="5"/>
      <c r="O337" s="5"/>
      <c r="V337" s="5"/>
      <c r="X337" s="29"/>
      <c r="Y337" s="26"/>
      <c r="Z337" s="26"/>
      <c r="AA337" s="26"/>
      <c r="AB337" s="26"/>
      <c r="AC337" s="26"/>
      <c r="AD337" s="26"/>
    </row>
    <row r="338">
      <c r="H338" s="5"/>
      <c r="O338" s="5"/>
      <c r="V338" s="5"/>
      <c r="X338" s="28"/>
      <c r="Y338" s="26"/>
      <c r="Z338" s="26"/>
      <c r="AA338" s="26"/>
      <c r="AB338" s="26"/>
      <c r="AC338" s="26"/>
      <c r="AD338" s="26"/>
    </row>
    <row r="339">
      <c r="H339" s="5"/>
      <c r="O339" s="5"/>
      <c r="V339" s="5"/>
      <c r="X339" s="29"/>
      <c r="Y339" s="26"/>
      <c r="Z339" s="26"/>
      <c r="AA339" s="26"/>
      <c r="AB339" s="26"/>
      <c r="AC339" s="26"/>
      <c r="AD339" s="26"/>
    </row>
    <row r="340">
      <c r="H340" s="5"/>
      <c r="O340" s="5"/>
      <c r="V340" s="5"/>
      <c r="X340" s="28"/>
      <c r="Y340" s="26"/>
      <c r="Z340" s="26"/>
      <c r="AA340" s="26"/>
      <c r="AB340" s="26"/>
      <c r="AC340" s="26"/>
      <c r="AD340" s="26"/>
    </row>
    <row r="341">
      <c r="H341" s="5"/>
      <c r="O341" s="5"/>
      <c r="V341" s="5"/>
      <c r="X341" s="29"/>
      <c r="Y341" s="26"/>
      <c r="Z341" s="26"/>
      <c r="AA341" s="26"/>
      <c r="AB341" s="26"/>
      <c r="AC341" s="26"/>
      <c r="AD341" s="26"/>
    </row>
    <row r="342">
      <c r="H342" s="5"/>
      <c r="O342" s="5"/>
      <c r="V342" s="5"/>
      <c r="X342" s="28"/>
      <c r="Y342" s="26"/>
      <c r="Z342" s="26"/>
      <c r="AA342" s="26"/>
      <c r="AB342" s="26"/>
      <c r="AC342" s="26"/>
      <c r="AD342" s="26"/>
    </row>
    <row r="343">
      <c r="H343" s="5"/>
      <c r="O343" s="5"/>
      <c r="V343" s="5"/>
      <c r="X343" s="29"/>
      <c r="Y343" s="26"/>
      <c r="Z343" s="26"/>
      <c r="AA343" s="26"/>
      <c r="AB343" s="26"/>
      <c r="AC343" s="26"/>
      <c r="AD343" s="26"/>
    </row>
    <row r="344">
      <c r="H344" s="5"/>
      <c r="O344" s="5"/>
      <c r="V344" s="5"/>
      <c r="X344" s="28"/>
      <c r="Y344" s="26"/>
      <c r="Z344" s="26"/>
      <c r="AA344" s="26"/>
      <c r="AB344" s="26"/>
      <c r="AC344" s="26"/>
      <c r="AD344" s="26"/>
    </row>
    <row r="345">
      <c r="H345" s="5"/>
      <c r="O345" s="5"/>
      <c r="V345" s="5"/>
      <c r="X345" s="29"/>
      <c r="Y345" s="26"/>
      <c r="Z345" s="26"/>
      <c r="AA345" s="26"/>
      <c r="AB345" s="26"/>
      <c r="AC345" s="26"/>
      <c r="AD345" s="26"/>
    </row>
    <row r="346">
      <c r="H346" s="5"/>
      <c r="O346" s="5"/>
      <c r="V346" s="5"/>
      <c r="X346" s="28"/>
      <c r="Y346" s="26"/>
      <c r="Z346" s="26"/>
      <c r="AA346" s="26"/>
      <c r="AB346" s="26"/>
      <c r="AC346" s="26"/>
      <c r="AD346" s="26"/>
    </row>
    <row r="347">
      <c r="H347" s="5"/>
      <c r="O347" s="5"/>
      <c r="V347" s="5"/>
      <c r="X347" s="29"/>
      <c r="Y347" s="26"/>
      <c r="Z347" s="26"/>
      <c r="AA347" s="26"/>
      <c r="AB347" s="26"/>
      <c r="AC347" s="26"/>
      <c r="AD347" s="26"/>
    </row>
    <row r="348">
      <c r="H348" s="5"/>
      <c r="O348" s="5"/>
      <c r="V348" s="5"/>
      <c r="X348" s="28"/>
      <c r="Y348" s="26"/>
      <c r="Z348" s="26"/>
      <c r="AA348" s="26"/>
      <c r="AB348" s="26"/>
      <c r="AC348" s="26"/>
      <c r="AD348" s="26"/>
    </row>
    <row r="349">
      <c r="H349" s="5"/>
      <c r="O349" s="5"/>
      <c r="V349" s="5"/>
      <c r="X349" s="29"/>
      <c r="Y349" s="26"/>
      <c r="Z349" s="26"/>
      <c r="AA349" s="26"/>
      <c r="AB349" s="26"/>
      <c r="AC349" s="26"/>
      <c r="AD349" s="26"/>
    </row>
    <row r="350">
      <c r="H350" s="5"/>
      <c r="O350" s="5"/>
      <c r="V350" s="5"/>
      <c r="X350" s="28"/>
      <c r="Y350" s="26"/>
      <c r="Z350" s="26"/>
      <c r="AA350" s="26"/>
      <c r="AB350" s="26"/>
      <c r="AC350" s="26"/>
      <c r="AD350" s="26"/>
    </row>
    <row r="351">
      <c r="H351" s="5"/>
      <c r="O351" s="5"/>
      <c r="V351" s="5"/>
      <c r="X351" s="29"/>
      <c r="Y351" s="26"/>
      <c r="Z351" s="26"/>
      <c r="AA351" s="26"/>
      <c r="AB351" s="26"/>
      <c r="AC351" s="26"/>
      <c r="AD351" s="26"/>
    </row>
    <row r="352">
      <c r="H352" s="5"/>
      <c r="O352" s="5"/>
      <c r="V352" s="5"/>
      <c r="X352" s="28"/>
      <c r="Y352" s="26"/>
      <c r="Z352" s="26"/>
      <c r="AA352" s="26"/>
      <c r="AB352" s="26"/>
      <c r="AC352" s="26"/>
      <c r="AD352" s="26"/>
    </row>
    <row r="353">
      <c r="H353" s="5"/>
      <c r="O353" s="5"/>
      <c r="V353" s="5"/>
      <c r="X353" s="29"/>
      <c r="Y353" s="26"/>
      <c r="Z353" s="26"/>
      <c r="AA353" s="26"/>
      <c r="AB353" s="26"/>
      <c r="AC353" s="26"/>
      <c r="AD353" s="26"/>
    </row>
    <row r="354">
      <c r="H354" s="5"/>
      <c r="O354" s="5"/>
      <c r="V354" s="5"/>
      <c r="X354" s="28"/>
      <c r="Y354" s="26"/>
      <c r="Z354" s="26"/>
      <c r="AA354" s="26"/>
      <c r="AB354" s="26"/>
      <c r="AC354" s="26"/>
      <c r="AD354" s="26"/>
    </row>
    <row r="355">
      <c r="H355" s="5"/>
      <c r="O355" s="5"/>
      <c r="V355" s="5"/>
      <c r="X355" s="29"/>
      <c r="Y355" s="26"/>
      <c r="Z355" s="26"/>
      <c r="AA355" s="26"/>
      <c r="AB355" s="26"/>
      <c r="AC355" s="26"/>
      <c r="AD355" s="26"/>
    </row>
    <row r="356">
      <c r="H356" s="5"/>
      <c r="O356" s="5"/>
      <c r="V356" s="5"/>
      <c r="X356" s="28"/>
      <c r="Y356" s="26"/>
      <c r="Z356" s="26"/>
      <c r="AA356" s="26"/>
      <c r="AB356" s="26"/>
      <c r="AC356" s="26"/>
      <c r="AD356" s="26"/>
    </row>
    <row r="357">
      <c r="H357" s="5"/>
      <c r="O357" s="5"/>
      <c r="V357" s="5"/>
      <c r="X357" s="29"/>
      <c r="Y357" s="26"/>
      <c r="Z357" s="26"/>
      <c r="AA357" s="26"/>
      <c r="AB357" s="26"/>
      <c r="AC357" s="26"/>
      <c r="AD357" s="26"/>
    </row>
    <row r="358">
      <c r="H358" s="5"/>
      <c r="O358" s="5"/>
      <c r="V358" s="5"/>
      <c r="X358" s="28"/>
      <c r="Y358" s="26"/>
      <c r="Z358" s="26"/>
      <c r="AA358" s="26"/>
      <c r="AB358" s="26"/>
      <c r="AC358" s="26"/>
      <c r="AD358" s="26"/>
    </row>
    <row r="359">
      <c r="H359" s="5"/>
      <c r="O359" s="5"/>
      <c r="V359" s="5"/>
      <c r="X359" s="29"/>
      <c r="Y359" s="26"/>
      <c r="Z359" s="26"/>
      <c r="AA359" s="26"/>
      <c r="AB359" s="26"/>
      <c r="AC359" s="26"/>
      <c r="AD359" s="26"/>
    </row>
    <row r="360">
      <c r="H360" s="5"/>
      <c r="O360" s="5"/>
      <c r="V360" s="5"/>
      <c r="X360" s="28"/>
      <c r="Y360" s="26"/>
      <c r="Z360" s="26"/>
      <c r="AA360" s="26"/>
      <c r="AB360" s="26"/>
      <c r="AC360" s="26"/>
      <c r="AD360" s="26"/>
    </row>
    <row r="361">
      <c r="H361" s="5"/>
      <c r="O361" s="5"/>
      <c r="V361" s="5"/>
      <c r="X361" s="29"/>
      <c r="Y361" s="26"/>
      <c r="Z361" s="26"/>
      <c r="AA361" s="26"/>
      <c r="AB361" s="26"/>
      <c r="AC361" s="26"/>
      <c r="AD361" s="26"/>
    </row>
    <row r="362">
      <c r="H362" s="5"/>
      <c r="O362" s="5"/>
      <c r="V362" s="5"/>
      <c r="X362" s="28"/>
      <c r="Y362" s="26"/>
      <c r="Z362" s="26"/>
      <c r="AA362" s="26"/>
      <c r="AB362" s="26"/>
      <c r="AC362" s="26"/>
      <c r="AD362" s="26"/>
    </row>
    <row r="363">
      <c r="H363" s="5"/>
      <c r="O363" s="5"/>
      <c r="V363" s="5"/>
      <c r="X363" s="29"/>
      <c r="Y363" s="26"/>
      <c r="Z363" s="26"/>
      <c r="AA363" s="26"/>
      <c r="AB363" s="26"/>
      <c r="AC363" s="26"/>
      <c r="AD363" s="26"/>
    </row>
    <row r="364">
      <c r="H364" s="5"/>
      <c r="O364" s="5"/>
      <c r="V364" s="5"/>
      <c r="X364" s="28"/>
      <c r="Y364" s="26"/>
      <c r="Z364" s="26"/>
      <c r="AA364" s="26"/>
      <c r="AB364" s="26"/>
      <c r="AC364" s="26"/>
      <c r="AD364" s="26"/>
    </row>
    <row r="365">
      <c r="H365" s="5"/>
      <c r="O365" s="5"/>
      <c r="V365" s="5"/>
      <c r="X365" s="29"/>
      <c r="Y365" s="26"/>
      <c r="Z365" s="26"/>
      <c r="AA365" s="26"/>
      <c r="AB365" s="26"/>
      <c r="AC365" s="26"/>
      <c r="AD365" s="26"/>
    </row>
    <row r="366">
      <c r="H366" s="5"/>
      <c r="O366" s="5"/>
      <c r="V366" s="5"/>
      <c r="X366" s="28"/>
      <c r="Y366" s="26"/>
      <c r="Z366" s="26"/>
      <c r="AA366" s="26"/>
      <c r="AB366" s="26"/>
      <c r="AC366" s="26"/>
      <c r="AD366" s="26"/>
    </row>
    <row r="367">
      <c r="H367" s="5"/>
      <c r="O367" s="5"/>
      <c r="V367" s="5"/>
      <c r="X367" s="29"/>
      <c r="Y367" s="26"/>
      <c r="Z367" s="26"/>
      <c r="AA367" s="26"/>
      <c r="AB367" s="26"/>
      <c r="AC367" s="26"/>
      <c r="AD367" s="26"/>
    </row>
    <row r="368">
      <c r="H368" s="5"/>
      <c r="O368" s="5"/>
      <c r="V368" s="5"/>
      <c r="X368" s="28"/>
      <c r="Y368" s="26"/>
      <c r="Z368" s="26"/>
      <c r="AA368" s="26"/>
      <c r="AB368" s="26"/>
      <c r="AC368" s="26"/>
      <c r="AD368" s="26"/>
    </row>
    <row r="369">
      <c r="H369" s="5"/>
      <c r="O369" s="5"/>
      <c r="V369" s="5"/>
      <c r="X369" s="29"/>
      <c r="Y369" s="26"/>
      <c r="Z369" s="26"/>
      <c r="AA369" s="26"/>
      <c r="AB369" s="26"/>
      <c r="AC369" s="26"/>
      <c r="AD369" s="26"/>
    </row>
    <row r="370">
      <c r="H370" s="5"/>
      <c r="O370" s="5"/>
      <c r="V370" s="5"/>
      <c r="X370" s="28"/>
      <c r="Y370" s="26"/>
      <c r="Z370" s="26"/>
      <c r="AA370" s="26"/>
      <c r="AB370" s="26"/>
      <c r="AC370" s="26"/>
      <c r="AD370" s="26"/>
    </row>
    <row r="371">
      <c r="H371" s="5"/>
      <c r="O371" s="5"/>
      <c r="V371" s="5"/>
      <c r="X371" s="29"/>
      <c r="Y371" s="26"/>
      <c r="Z371" s="26"/>
      <c r="AA371" s="26"/>
      <c r="AB371" s="26"/>
      <c r="AC371" s="26"/>
      <c r="AD371" s="26"/>
    </row>
    <row r="372">
      <c r="H372" s="5"/>
      <c r="O372" s="5"/>
      <c r="V372" s="5"/>
      <c r="X372" s="28"/>
      <c r="Y372" s="26"/>
      <c r="Z372" s="26"/>
      <c r="AA372" s="26"/>
      <c r="AB372" s="26"/>
      <c r="AC372" s="26"/>
      <c r="AD372" s="26"/>
    </row>
    <row r="373">
      <c r="H373" s="5"/>
      <c r="O373" s="5"/>
      <c r="V373" s="5"/>
      <c r="X373" s="29"/>
      <c r="Y373" s="26"/>
      <c r="Z373" s="26"/>
      <c r="AA373" s="26"/>
      <c r="AB373" s="26"/>
      <c r="AC373" s="26"/>
      <c r="AD373" s="26"/>
    </row>
    <row r="374">
      <c r="H374" s="5"/>
      <c r="O374" s="5"/>
      <c r="V374" s="5"/>
      <c r="X374" s="28"/>
      <c r="Y374" s="26"/>
      <c r="Z374" s="26"/>
      <c r="AA374" s="26"/>
      <c r="AB374" s="26"/>
      <c r="AC374" s="26"/>
      <c r="AD374" s="26"/>
    </row>
    <row r="375">
      <c r="H375" s="5"/>
      <c r="O375" s="5"/>
      <c r="V375" s="5"/>
      <c r="X375" s="29"/>
      <c r="Y375" s="26"/>
      <c r="Z375" s="26"/>
      <c r="AA375" s="26"/>
      <c r="AB375" s="26"/>
      <c r="AC375" s="26"/>
      <c r="AD375" s="26"/>
    </row>
    <row r="376">
      <c r="H376" s="5"/>
      <c r="O376" s="5"/>
      <c r="V376" s="5"/>
      <c r="X376" s="28"/>
      <c r="Y376" s="26"/>
      <c r="Z376" s="26"/>
      <c r="AA376" s="26"/>
      <c r="AB376" s="26"/>
      <c r="AC376" s="26"/>
      <c r="AD376" s="26"/>
    </row>
    <row r="377">
      <c r="H377" s="5"/>
      <c r="O377" s="5"/>
      <c r="V377" s="5"/>
      <c r="X377" s="29"/>
      <c r="Y377" s="26"/>
      <c r="Z377" s="26"/>
      <c r="AA377" s="26"/>
      <c r="AB377" s="26"/>
      <c r="AC377" s="26"/>
      <c r="AD377" s="26"/>
    </row>
    <row r="378">
      <c r="H378" s="5"/>
      <c r="O378" s="5"/>
      <c r="V378" s="5"/>
      <c r="X378" s="28"/>
      <c r="Y378" s="26"/>
      <c r="Z378" s="26"/>
      <c r="AA378" s="26"/>
      <c r="AB378" s="26"/>
      <c r="AC378" s="26"/>
      <c r="AD378" s="26"/>
    </row>
    <row r="379">
      <c r="H379" s="5"/>
      <c r="O379" s="5"/>
      <c r="V379" s="5"/>
      <c r="X379" s="29"/>
      <c r="Y379" s="26"/>
      <c r="Z379" s="26"/>
      <c r="AA379" s="26"/>
      <c r="AB379" s="26"/>
      <c r="AC379" s="26"/>
      <c r="AD379" s="26"/>
    </row>
    <row r="380">
      <c r="H380" s="5"/>
      <c r="O380" s="5"/>
      <c r="V380" s="5"/>
      <c r="X380" s="28"/>
      <c r="Y380" s="26"/>
      <c r="Z380" s="26"/>
      <c r="AA380" s="26"/>
      <c r="AB380" s="26"/>
      <c r="AC380" s="26"/>
      <c r="AD380" s="26"/>
    </row>
    <row r="381">
      <c r="H381" s="5"/>
      <c r="O381" s="5"/>
      <c r="V381" s="5"/>
      <c r="X381" s="29"/>
      <c r="Y381" s="26"/>
      <c r="Z381" s="26"/>
      <c r="AA381" s="26"/>
      <c r="AB381" s="26"/>
      <c r="AC381" s="26"/>
      <c r="AD381" s="26"/>
    </row>
    <row r="382">
      <c r="H382" s="5"/>
      <c r="O382" s="5"/>
      <c r="V382" s="5"/>
      <c r="X382" s="28"/>
      <c r="Y382" s="26"/>
      <c r="Z382" s="26"/>
      <c r="AA382" s="26"/>
      <c r="AB382" s="26"/>
      <c r="AC382" s="26"/>
      <c r="AD382" s="26"/>
    </row>
    <row r="383">
      <c r="H383" s="5"/>
      <c r="O383" s="5"/>
      <c r="V383" s="5"/>
      <c r="X383" s="29"/>
      <c r="Y383" s="26"/>
      <c r="Z383" s="26"/>
      <c r="AA383" s="26"/>
      <c r="AB383" s="26"/>
      <c r="AC383" s="26"/>
      <c r="AD383" s="26"/>
    </row>
    <row r="384">
      <c r="H384" s="5"/>
      <c r="O384" s="5"/>
      <c r="V384" s="5"/>
      <c r="X384" s="28"/>
      <c r="Y384" s="26"/>
      <c r="Z384" s="26"/>
      <c r="AA384" s="26"/>
      <c r="AB384" s="26"/>
      <c r="AC384" s="26"/>
      <c r="AD384" s="26"/>
    </row>
    <row r="385">
      <c r="H385" s="5"/>
      <c r="O385" s="5"/>
      <c r="V385" s="5"/>
      <c r="X385" s="29"/>
      <c r="Y385" s="26"/>
      <c r="Z385" s="26"/>
      <c r="AA385" s="26"/>
      <c r="AB385" s="26"/>
      <c r="AC385" s="26"/>
      <c r="AD385" s="26"/>
    </row>
    <row r="386">
      <c r="H386" s="5"/>
      <c r="O386" s="5"/>
      <c r="V386" s="5"/>
      <c r="X386" s="28"/>
      <c r="Y386" s="26"/>
      <c r="Z386" s="26"/>
      <c r="AA386" s="26"/>
      <c r="AB386" s="26"/>
      <c r="AC386" s="26"/>
      <c r="AD386" s="26"/>
    </row>
    <row r="387">
      <c r="H387" s="5"/>
      <c r="O387" s="5"/>
      <c r="V387" s="5"/>
      <c r="X387" s="29"/>
      <c r="Y387" s="26"/>
      <c r="Z387" s="26"/>
      <c r="AA387" s="26"/>
      <c r="AB387" s="26"/>
      <c r="AC387" s="26"/>
      <c r="AD387" s="26"/>
    </row>
    <row r="388">
      <c r="H388" s="5"/>
      <c r="O388" s="5"/>
      <c r="V388" s="5"/>
      <c r="X388" s="28"/>
      <c r="Y388" s="26"/>
      <c r="Z388" s="26"/>
      <c r="AA388" s="26"/>
      <c r="AB388" s="26"/>
      <c r="AC388" s="26"/>
      <c r="AD388" s="26"/>
    </row>
    <row r="389">
      <c r="H389" s="5"/>
      <c r="O389" s="5"/>
      <c r="V389" s="5"/>
      <c r="X389" s="29"/>
      <c r="Y389" s="26"/>
      <c r="Z389" s="26"/>
      <c r="AA389" s="26"/>
      <c r="AB389" s="26"/>
      <c r="AC389" s="26"/>
      <c r="AD389" s="26"/>
    </row>
    <row r="390">
      <c r="H390" s="5"/>
      <c r="O390" s="5"/>
      <c r="V390" s="5"/>
      <c r="X390" s="28"/>
      <c r="Y390" s="26"/>
      <c r="Z390" s="26"/>
      <c r="AA390" s="26"/>
      <c r="AB390" s="26"/>
      <c r="AC390" s="26"/>
      <c r="AD390" s="26"/>
    </row>
    <row r="391">
      <c r="H391" s="5"/>
      <c r="O391" s="5"/>
      <c r="V391" s="5"/>
      <c r="X391" s="29"/>
      <c r="Y391" s="26"/>
      <c r="Z391" s="26"/>
      <c r="AA391" s="26"/>
      <c r="AB391" s="26"/>
      <c r="AC391" s="26"/>
      <c r="AD391" s="26"/>
    </row>
    <row r="392">
      <c r="H392" s="5"/>
      <c r="O392" s="5"/>
      <c r="V392" s="5"/>
      <c r="X392" s="28"/>
      <c r="Y392" s="26"/>
      <c r="Z392" s="26"/>
      <c r="AA392" s="26"/>
      <c r="AB392" s="26"/>
      <c r="AC392" s="26"/>
      <c r="AD392" s="26"/>
    </row>
    <row r="393">
      <c r="H393" s="5"/>
      <c r="O393" s="5"/>
      <c r="V393" s="5"/>
      <c r="X393" s="29"/>
      <c r="Y393" s="26"/>
      <c r="Z393" s="26"/>
      <c r="AA393" s="26"/>
      <c r="AB393" s="26"/>
      <c r="AC393" s="26"/>
      <c r="AD393" s="26"/>
    </row>
    <row r="394">
      <c r="H394" s="5"/>
      <c r="O394" s="5"/>
      <c r="V394" s="5"/>
      <c r="X394" s="28"/>
      <c r="Y394" s="26"/>
      <c r="Z394" s="26"/>
      <c r="AA394" s="26"/>
      <c r="AB394" s="26"/>
      <c r="AC394" s="26"/>
      <c r="AD394" s="26"/>
    </row>
    <row r="395">
      <c r="H395" s="5"/>
      <c r="O395" s="5"/>
      <c r="V395" s="5"/>
      <c r="X395" s="29"/>
      <c r="Y395" s="26"/>
      <c r="Z395" s="26"/>
      <c r="AA395" s="26"/>
      <c r="AB395" s="26"/>
      <c r="AC395" s="26"/>
      <c r="AD395" s="26"/>
    </row>
    <row r="396">
      <c r="H396" s="5"/>
      <c r="O396" s="5"/>
      <c r="V396" s="5"/>
      <c r="X396" s="28"/>
      <c r="Y396" s="26"/>
      <c r="Z396" s="26"/>
      <c r="AA396" s="26"/>
      <c r="AB396" s="26"/>
      <c r="AC396" s="26"/>
      <c r="AD396" s="26"/>
    </row>
    <row r="397">
      <c r="H397" s="5"/>
      <c r="O397" s="5"/>
      <c r="V397" s="5"/>
      <c r="X397" s="29"/>
      <c r="Y397" s="26"/>
      <c r="Z397" s="26"/>
      <c r="AA397" s="26"/>
      <c r="AB397" s="26"/>
      <c r="AC397" s="26"/>
      <c r="AD397" s="26"/>
    </row>
    <row r="398">
      <c r="H398" s="5"/>
      <c r="O398" s="5"/>
      <c r="V398" s="5"/>
      <c r="X398" s="28"/>
      <c r="Y398" s="26"/>
      <c r="Z398" s="26"/>
      <c r="AA398" s="26"/>
      <c r="AB398" s="26"/>
      <c r="AC398" s="26"/>
      <c r="AD398" s="26"/>
    </row>
    <row r="399">
      <c r="H399" s="5"/>
      <c r="O399" s="5"/>
      <c r="V399" s="5"/>
      <c r="X399" s="29"/>
      <c r="Y399" s="26"/>
      <c r="Z399" s="26"/>
      <c r="AA399" s="26"/>
      <c r="AB399" s="26"/>
      <c r="AC399" s="26"/>
      <c r="AD399" s="26"/>
    </row>
    <row r="400">
      <c r="H400" s="5"/>
      <c r="O400" s="5"/>
      <c r="V400" s="5"/>
      <c r="X400" s="28"/>
      <c r="Y400" s="26"/>
      <c r="Z400" s="26"/>
      <c r="AA400" s="26"/>
      <c r="AB400" s="26"/>
      <c r="AC400" s="26"/>
      <c r="AD400" s="26"/>
    </row>
    <row r="401">
      <c r="H401" s="5"/>
      <c r="O401" s="5"/>
      <c r="V401" s="5"/>
      <c r="X401" s="29"/>
      <c r="Y401" s="26"/>
      <c r="Z401" s="26"/>
      <c r="AA401" s="26"/>
      <c r="AB401" s="26"/>
      <c r="AC401" s="26"/>
      <c r="AD401" s="26"/>
    </row>
    <row r="402">
      <c r="H402" s="5"/>
      <c r="O402" s="5"/>
      <c r="V402" s="5"/>
      <c r="X402" s="28"/>
      <c r="Y402" s="26"/>
      <c r="Z402" s="26"/>
      <c r="AA402" s="26"/>
      <c r="AB402" s="26"/>
      <c r="AC402" s="26"/>
      <c r="AD402" s="26"/>
    </row>
    <row r="403">
      <c r="H403" s="5"/>
      <c r="O403" s="5"/>
      <c r="V403" s="5"/>
      <c r="X403" s="29"/>
      <c r="Y403" s="26"/>
      <c r="Z403" s="26"/>
      <c r="AA403" s="26"/>
      <c r="AB403" s="26"/>
      <c r="AC403" s="26"/>
      <c r="AD403" s="26"/>
    </row>
    <row r="404">
      <c r="H404" s="5"/>
      <c r="O404" s="5"/>
      <c r="V404" s="5"/>
      <c r="X404" s="28"/>
      <c r="Y404" s="26"/>
      <c r="Z404" s="26"/>
      <c r="AA404" s="26"/>
      <c r="AB404" s="26"/>
      <c r="AC404" s="26"/>
      <c r="AD404" s="26"/>
    </row>
    <row r="405">
      <c r="H405" s="5"/>
      <c r="O405" s="5"/>
      <c r="V405" s="5"/>
      <c r="X405" s="29"/>
      <c r="Y405" s="26"/>
      <c r="Z405" s="26"/>
      <c r="AA405" s="26"/>
      <c r="AB405" s="26"/>
      <c r="AC405" s="26"/>
      <c r="AD405" s="26"/>
    </row>
    <row r="406">
      <c r="H406" s="5"/>
      <c r="O406" s="5"/>
      <c r="V406" s="5"/>
      <c r="X406" s="28"/>
      <c r="Y406" s="26"/>
      <c r="Z406" s="26"/>
      <c r="AA406" s="26"/>
      <c r="AB406" s="26"/>
      <c r="AC406" s="26"/>
      <c r="AD406" s="26"/>
    </row>
    <row r="407">
      <c r="H407" s="5"/>
      <c r="O407" s="5"/>
      <c r="V407" s="5"/>
      <c r="X407" s="29"/>
      <c r="Y407" s="26"/>
      <c r="Z407" s="26"/>
      <c r="AA407" s="26"/>
      <c r="AB407" s="26"/>
      <c r="AC407" s="26"/>
      <c r="AD407" s="26"/>
    </row>
    <row r="408">
      <c r="H408" s="5"/>
      <c r="O408" s="5"/>
      <c r="V408" s="5"/>
      <c r="X408" s="28"/>
      <c r="Y408" s="26"/>
      <c r="Z408" s="26"/>
      <c r="AA408" s="26"/>
      <c r="AB408" s="26"/>
      <c r="AC408" s="26"/>
      <c r="AD408" s="26"/>
    </row>
    <row r="409">
      <c r="H409" s="5"/>
      <c r="O409" s="5"/>
      <c r="V409" s="5"/>
      <c r="X409" s="29"/>
      <c r="Y409" s="26"/>
      <c r="Z409" s="26"/>
      <c r="AA409" s="26"/>
      <c r="AB409" s="26"/>
      <c r="AC409" s="26"/>
      <c r="AD409" s="26"/>
    </row>
    <row r="410">
      <c r="H410" s="5"/>
      <c r="O410" s="5"/>
      <c r="V410" s="5"/>
      <c r="X410" s="28"/>
      <c r="Y410" s="26"/>
      <c r="Z410" s="26"/>
      <c r="AA410" s="26"/>
      <c r="AB410" s="26"/>
      <c r="AC410" s="26"/>
      <c r="AD410" s="26"/>
    </row>
    <row r="411">
      <c r="H411" s="5"/>
      <c r="O411" s="5"/>
      <c r="V411" s="5"/>
      <c r="X411" s="29"/>
      <c r="Y411" s="26"/>
      <c r="Z411" s="26"/>
      <c r="AA411" s="26"/>
      <c r="AB411" s="26"/>
      <c r="AC411" s="26"/>
      <c r="AD411" s="26"/>
    </row>
    <row r="412">
      <c r="H412" s="5"/>
      <c r="O412" s="5"/>
      <c r="V412" s="5"/>
      <c r="X412" s="28"/>
      <c r="Y412" s="26"/>
      <c r="Z412" s="26"/>
      <c r="AA412" s="26"/>
      <c r="AB412" s="26"/>
      <c r="AC412" s="26"/>
      <c r="AD412" s="26"/>
    </row>
    <row r="413">
      <c r="H413" s="5"/>
      <c r="O413" s="5"/>
      <c r="V413" s="5"/>
      <c r="X413" s="29"/>
      <c r="Y413" s="26"/>
      <c r="Z413" s="26"/>
      <c r="AA413" s="26"/>
      <c r="AB413" s="26"/>
      <c r="AC413" s="26"/>
      <c r="AD413" s="26"/>
    </row>
    <row r="414">
      <c r="H414" s="5"/>
      <c r="O414" s="5"/>
      <c r="V414" s="5"/>
      <c r="X414" s="28"/>
      <c r="Y414" s="26"/>
      <c r="Z414" s="26"/>
      <c r="AA414" s="26"/>
      <c r="AB414" s="26"/>
      <c r="AC414" s="26"/>
      <c r="AD414" s="26"/>
    </row>
    <row r="415">
      <c r="H415" s="5"/>
      <c r="O415" s="5"/>
      <c r="V415" s="5"/>
      <c r="X415" s="29"/>
      <c r="Y415" s="26"/>
      <c r="Z415" s="26"/>
      <c r="AA415" s="26"/>
      <c r="AB415" s="26"/>
      <c r="AC415" s="26"/>
      <c r="AD415" s="26"/>
    </row>
    <row r="416">
      <c r="H416" s="5"/>
      <c r="O416" s="5"/>
      <c r="V416" s="5"/>
      <c r="X416" s="28"/>
      <c r="Y416" s="26"/>
      <c r="Z416" s="26"/>
      <c r="AA416" s="26"/>
      <c r="AB416" s="26"/>
      <c r="AC416" s="26"/>
      <c r="AD416" s="26"/>
    </row>
    <row r="417">
      <c r="H417" s="5"/>
      <c r="O417" s="5"/>
      <c r="V417" s="5"/>
      <c r="X417" s="29"/>
      <c r="Y417" s="26"/>
      <c r="Z417" s="26"/>
      <c r="AA417" s="26"/>
      <c r="AB417" s="26"/>
      <c r="AC417" s="26"/>
      <c r="AD417" s="26"/>
    </row>
    <row r="418">
      <c r="H418" s="5"/>
      <c r="O418" s="5"/>
      <c r="V418" s="5"/>
      <c r="X418" s="28"/>
      <c r="Y418" s="26"/>
      <c r="Z418" s="26"/>
      <c r="AA418" s="26"/>
      <c r="AB418" s="26"/>
      <c r="AC418" s="26"/>
      <c r="AD418" s="26"/>
    </row>
    <row r="419">
      <c r="H419" s="5"/>
      <c r="O419" s="5"/>
      <c r="V419" s="5"/>
      <c r="X419" s="29"/>
      <c r="Y419" s="26"/>
      <c r="Z419" s="26"/>
      <c r="AA419" s="26"/>
      <c r="AB419" s="26"/>
      <c r="AC419" s="26"/>
      <c r="AD419" s="26"/>
    </row>
    <row r="420">
      <c r="H420" s="5"/>
      <c r="O420" s="5"/>
      <c r="V420" s="5"/>
      <c r="X420" s="28"/>
      <c r="Y420" s="26"/>
      <c r="Z420" s="26"/>
      <c r="AA420" s="26"/>
      <c r="AB420" s="26"/>
      <c r="AC420" s="26"/>
      <c r="AD420" s="26"/>
    </row>
    <row r="421">
      <c r="H421" s="5"/>
      <c r="O421" s="5"/>
      <c r="V421" s="5"/>
      <c r="X421" s="29"/>
      <c r="Y421" s="26"/>
      <c r="Z421" s="26"/>
      <c r="AA421" s="26"/>
      <c r="AB421" s="26"/>
      <c r="AC421" s="26"/>
      <c r="AD421" s="26"/>
    </row>
    <row r="422">
      <c r="H422" s="5"/>
      <c r="O422" s="5"/>
      <c r="V422" s="5"/>
      <c r="X422" s="28"/>
      <c r="Y422" s="26"/>
      <c r="Z422" s="26"/>
      <c r="AA422" s="26"/>
      <c r="AB422" s="26"/>
      <c r="AC422" s="26"/>
      <c r="AD422" s="26"/>
    </row>
    <row r="423">
      <c r="H423" s="5"/>
      <c r="O423" s="5"/>
      <c r="V423" s="5"/>
      <c r="X423" s="29"/>
      <c r="Y423" s="26"/>
      <c r="Z423" s="26"/>
      <c r="AA423" s="26"/>
      <c r="AB423" s="26"/>
      <c r="AC423" s="26"/>
      <c r="AD423" s="26"/>
    </row>
    <row r="424">
      <c r="H424" s="5"/>
      <c r="O424" s="5"/>
      <c r="V424" s="5"/>
      <c r="X424" s="28"/>
      <c r="Y424" s="26"/>
      <c r="Z424" s="26"/>
      <c r="AA424" s="26"/>
      <c r="AB424" s="26"/>
      <c r="AC424" s="26"/>
      <c r="AD424" s="26"/>
    </row>
    <row r="425">
      <c r="H425" s="5"/>
      <c r="O425" s="5"/>
      <c r="V425" s="5"/>
      <c r="X425" s="29"/>
      <c r="Y425" s="26"/>
      <c r="Z425" s="26"/>
      <c r="AA425" s="26"/>
      <c r="AB425" s="26"/>
      <c r="AC425" s="26"/>
      <c r="AD425" s="26"/>
    </row>
    <row r="426">
      <c r="H426" s="5"/>
      <c r="O426" s="5"/>
      <c r="V426" s="5"/>
      <c r="X426" s="28"/>
      <c r="Y426" s="26"/>
      <c r="Z426" s="26"/>
      <c r="AA426" s="26"/>
      <c r="AB426" s="26"/>
      <c r="AC426" s="26"/>
      <c r="AD426" s="26"/>
    </row>
    <row r="427">
      <c r="H427" s="5"/>
      <c r="O427" s="5"/>
      <c r="V427" s="5"/>
      <c r="X427" s="29"/>
      <c r="Y427" s="26"/>
      <c r="Z427" s="26"/>
      <c r="AA427" s="26"/>
      <c r="AB427" s="26"/>
      <c r="AC427" s="26"/>
      <c r="AD427" s="26"/>
    </row>
    <row r="428">
      <c r="H428" s="5"/>
      <c r="O428" s="5"/>
      <c r="V428" s="5"/>
      <c r="X428" s="28"/>
      <c r="Y428" s="26"/>
      <c r="Z428" s="26"/>
      <c r="AA428" s="26"/>
      <c r="AB428" s="26"/>
      <c r="AC428" s="26"/>
      <c r="AD428" s="26"/>
    </row>
    <row r="429">
      <c r="H429" s="5"/>
      <c r="O429" s="5"/>
      <c r="V429" s="5"/>
      <c r="X429" s="29"/>
      <c r="Y429" s="26"/>
      <c r="Z429" s="26"/>
      <c r="AA429" s="26"/>
      <c r="AB429" s="26"/>
      <c r="AC429" s="26"/>
      <c r="AD429" s="26"/>
    </row>
    <row r="430">
      <c r="H430" s="5"/>
      <c r="O430" s="5"/>
      <c r="V430" s="5"/>
      <c r="X430" s="28"/>
      <c r="Y430" s="26"/>
      <c r="Z430" s="26"/>
      <c r="AA430" s="26"/>
      <c r="AB430" s="26"/>
      <c r="AC430" s="26"/>
      <c r="AD430" s="26"/>
    </row>
    <row r="431">
      <c r="H431" s="5"/>
      <c r="O431" s="5"/>
      <c r="V431" s="5"/>
      <c r="X431" s="29"/>
      <c r="Y431" s="26"/>
      <c r="Z431" s="26"/>
      <c r="AA431" s="26"/>
      <c r="AB431" s="26"/>
      <c r="AC431" s="26"/>
      <c r="AD431" s="26"/>
    </row>
    <row r="432">
      <c r="H432" s="5"/>
      <c r="O432" s="5"/>
      <c r="V432" s="5"/>
      <c r="X432" s="28"/>
      <c r="Y432" s="26"/>
      <c r="Z432" s="26"/>
      <c r="AA432" s="26"/>
      <c r="AB432" s="26"/>
      <c r="AC432" s="26"/>
      <c r="AD432" s="26"/>
    </row>
    <row r="433">
      <c r="H433" s="5"/>
      <c r="O433" s="5"/>
      <c r="V433" s="5"/>
      <c r="X433" s="29"/>
      <c r="Y433" s="26"/>
      <c r="Z433" s="26"/>
      <c r="AA433" s="26"/>
      <c r="AB433" s="26"/>
      <c r="AC433" s="26"/>
      <c r="AD433" s="26"/>
    </row>
    <row r="434">
      <c r="H434" s="5"/>
      <c r="O434" s="5"/>
      <c r="V434" s="5"/>
      <c r="X434" s="28"/>
      <c r="Y434" s="26"/>
      <c r="Z434" s="26"/>
      <c r="AA434" s="26"/>
      <c r="AB434" s="26"/>
      <c r="AC434" s="26"/>
      <c r="AD434" s="26"/>
    </row>
    <row r="435">
      <c r="H435" s="5"/>
      <c r="O435" s="5"/>
      <c r="V435" s="5"/>
      <c r="X435" s="29"/>
      <c r="Y435" s="26"/>
      <c r="Z435" s="26"/>
      <c r="AA435" s="26"/>
      <c r="AB435" s="26"/>
      <c r="AC435" s="26"/>
      <c r="AD435" s="26"/>
    </row>
    <row r="436">
      <c r="H436" s="5"/>
      <c r="O436" s="5"/>
      <c r="V436" s="5"/>
      <c r="X436" s="28"/>
      <c r="Y436" s="26"/>
      <c r="Z436" s="26"/>
      <c r="AA436" s="26"/>
      <c r="AB436" s="26"/>
      <c r="AC436" s="26"/>
      <c r="AD436" s="26"/>
    </row>
    <row r="437">
      <c r="H437" s="5"/>
      <c r="O437" s="5"/>
      <c r="V437" s="5"/>
      <c r="X437" s="29"/>
      <c r="Y437" s="26"/>
      <c r="Z437" s="26"/>
      <c r="AA437" s="26"/>
      <c r="AB437" s="26"/>
      <c r="AC437" s="26"/>
      <c r="AD437" s="26"/>
    </row>
    <row r="438">
      <c r="H438" s="5"/>
      <c r="O438" s="5"/>
      <c r="V438" s="5"/>
      <c r="X438" s="28"/>
      <c r="Y438" s="26"/>
      <c r="Z438" s="26"/>
      <c r="AA438" s="26"/>
      <c r="AB438" s="26"/>
      <c r="AC438" s="26"/>
      <c r="AD438" s="26"/>
    </row>
    <row r="439">
      <c r="H439" s="5"/>
      <c r="O439" s="5"/>
      <c r="V439" s="5"/>
      <c r="X439" s="29"/>
      <c r="Y439" s="26"/>
      <c r="Z439" s="26"/>
      <c r="AA439" s="26"/>
      <c r="AB439" s="26"/>
      <c r="AC439" s="26"/>
      <c r="AD439" s="26"/>
    </row>
    <row r="440">
      <c r="H440" s="5"/>
      <c r="O440" s="5"/>
      <c r="V440" s="5"/>
      <c r="X440" s="28"/>
      <c r="Y440" s="26"/>
      <c r="Z440" s="26"/>
      <c r="AA440" s="26"/>
      <c r="AB440" s="26"/>
      <c r="AC440" s="26"/>
      <c r="AD440" s="26"/>
    </row>
    <row r="441">
      <c r="H441" s="5"/>
      <c r="O441" s="5"/>
      <c r="V441" s="5"/>
      <c r="X441" s="29"/>
      <c r="Y441" s="26"/>
      <c r="Z441" s="26"/>
      <c r="AA441" s="26"/>
      <c r="AB441" s="26"/>
      <c r="AC441" s="26"/>
      <c r="AD441" s="26"/>
    </row>
    <row r="442">
      <c r="H442" s="5"/>
      <c r="O442" s="5"/>
      <c r="V442" s="5"/>
      <c r="X442" s="28"/>
      <c r="Y442" s="26"/>
      <c r="Z442" s="26"/>
      <c r="AA442" s="26"/>
      <c r="AB442" s="26"/>
      <c r="AC442" s="26"/>
      <c r="AD442" s="26"/>
    </row>
    <row r="443">
      <c r="H443" s="5"/>
      <c r="O443" s="5"/>
      <c r="V443" s="5"/>
      <c r="X443" s="29"/>
      <c r="Y443" s="26"/>
      <c r="Z443" s="26"/>
      <c r="AA443" s="26"/>
      <c r="AB443" s="26"/>
      <c r="AC443" s="26"/>
      <c r="AD443" s="26"/>
    </row>
    <row r="444">
      <c r="H444" s="5"/>
      <c r="O444" s="5"/>
      <c r="V444" s="5"/>
      <c r="X444" s="28"/>
      <c r="Y444" s="26"/>
      <c r="Z444" s="26"/>
      <c r="AA444" s="26"/>
      <c r="AB444" s="26"/>
      <c r="AC444" s="26"/>
      <c r="AD444" s="26"/>
    </row>
    <row r="445">
      <c r="H445" s="5"/>
      <c r="O445" s="5"/>
      <c r="V445" s="5"/>
      <c r="X445" s="29"/>
      <c r="Y445" s="26"/>
      <c r="Z445" s="26"/>
      <c r="AA445" s="26"/>
      <c r="AB445" s="26"/>
      <c r="AC445" s="26"/>
      <c r="AD445" s="26"/>
    </row>
    <row r="446">
      <c r="H446" s="5"/>
      <c r="O446" s="5"/>
      <c r="V446" s="5"/>
      <c r="X446" s="28"/>
      <c r="Y446" s="26"/>
      <c r="Z446" s="26"/>
      <c r="AA446" s="26"/>
      <c r="AB446" s="26"/>
      <c r="AC446" s="26"/>
      <c r="AD446" s="26"/>
    </row>
    <row r="447">
      <c r="H447" s="5"/>
      <c r="O447" s="5"/>
      <c r="V447" s="5"/>
      <c r="X447" s="29"/>
      <c r="Y447" s="26"/>
      <c r="Z447" s="26"/>
      <c r="AA447" s="26"/>
      <c r="AB447" s="26"/>
      <c r="AC447" s="26"/>
      <c r="AD447" s="26"/>
    </row>
    <row r="448">
      <c r="H448" s="5"/>
      <c r="O448" s="5"/>
      <c r="V448" s="5"/>
      <c r="X448" s="28"/>
      <c r="Y448" s="26"/>
      <c r="Z448" s="26"/>
      <c r="AA448" s="26"/>
      <c r="AB448" s="26"/>
      <c r="AC448" s="26"/>
      <c r="AD448" s="26"/>
    </row>
    <row r="449">
      <c r="H449" s="5"/>
      <c r="O449" s="5"/>
      <c r="V449" s="5"/>
      <c r="X449" s="29"/>
      <c r="Y449" s="26"/>
      <c r="Z449" s="26"/>
      <c r="AA449" s="26"/>
      <c r="AB449" s="26"/>
      <c r="AC449" s="26"/>
      <c r="AD449" s="26"/>
    </row>
    <row r="450">
      <c r="H450" s="5"/>
      <c r="O450" s="5"/>
      <c r="V450" s="5"/>
      <c r="X450" s="28"/>
      <c r="Y450" s="26"/>
      <c r="Z450" s="26"/>
      <c r="AA450" s="26"/>
      <c r="AB450" s="26"/>
      <c r="AC450" s="26"/>
      <c r="AD450" s="26"/>
    </row>
    <row r="451">
      <c r="H451" s="5"/>
      <c r="O451" s="5"/>
      <c r="V451" s="5"/>
      <c r="X451" s="29"/>
      <c r="Y451" s="26"/>
      <c r="Z451" s="26"/>
      <c r="AA451" s="26"/>
      <c r="AB451" s="26"/>
      <c r="AC451" s="26"/>
      <c r="AD451" s="26"/>
    </row>
    <row r="452">
      <c r="H452" s="5"/>
      <c r="O452" s="5"/>
      <c r="V452" s="5"/>
      <c r="X452" s="28"/>
      <c r="Y452" s="26"/>
      <c r="Z452" s="26"/>
      <c r="AA452" s="26"/>
      <c r="AB452" s="26"/>
      <c r="AC452" s="26"/>
      <c r="AD452" s="26"/>
    </row>
    <row r="453">
      <c r="H453" s="5"/>
      <c r="O453" s="5"/>
      <c r="V453" s="5"/>
      <c r="X453" s="29"/>
      <c r="Y453" s="26"/>
      <c r="Z453" s="26"/>
      <c r="AA453" s="26"/>
      <c r="AB453" s="26"/>
      <c r="AC453" s="26"/>
      <c r="AD453" s="26"/>
    </row>
    <row r="454">
      <c r="H454" s="5"/>
      <c r="O454" s="5"/>
      <c r="V454" s="5"/>
      <c r="X454" s="28"/>
      <c r="Y454" s="26"/>
      <c r="Z454" s="26"/>
      <c r="AA454" s="26"/>
      <c r="AB454" s="26"/>
      <c r="AC454" s="26"/>
      <c r="AD454" s="26"/>
    </row>
    <row r="455">
      <c r="H455" s="5"/>
      <c r="O455" s="5"/>
      <c r="V455" s="5"/>
      <c r="X455" s="29"/>
      <c r="Y455" s="26"/>
      <c r="Z455" s="26"/>
      <c r="AA455" s="26"/>
      <c r="AB455" s="26"/>
      <c r="AC455" s="26"/>
      <c r="AD455" s="26"/>
    </row>
    <row r="456">
      <c r="H456" s="5"/>
      <c r="O456" s="5"/>
      <c r="V456" s="5"/>
      <c r="X456" s="28"/>
      <c r="Y456" s="26"/>
      <c r="Z456" s="26"/>
      <c r="AA456" s="26"/>
      <c r="AB456" s="26"/>
      <c r="AC456" s="26"/>
      <c r="AD456" s="26"/>
    </row>
    <row r="457">
      <c r="H457" s="5"/>
      <c r="O457" s="5"/>
      <c r="V457" s="5"/>
      <c r="X457" s="29"/>
      <c r="Y457" s="26"/>
      <c r="Z457" s="26"/>
      <c r="AA457" s="26"/>
      <c r="AB457" s="26"/>
      <c r="AC457" s="26"/>
      <c r="AD457" s="26"/>
    </row>
    <row r="458">
      <c r="H458" s="5"/>
      <c r="O458" s="5"/>
      <c r="V458" s="5"/>
      <c r="X458" s="28"/>
      <c r="Y458" s="26"/>
      <c r="Z458" s="26"/>
      <c r="AA458" s="26"/>
      <c r="AB458" s="26"/>
      <c r="AC458" s="26"/>
      <c r="AD458" s="26"/>
    </row>
    <row r="459">
      <c r="H459" s="5"/>
      <c r="O459" s="5"/>
      <c r="V459" s="5"/>
      <c r="X459" s="29"/>
      <c r="Y459" s="26"/>
      <c r="Z459" s="26"/>
      <c r="AA459" s="26"/>
      <c r="AB459" s="26"/>
      <c r="AC459" s="26"/>
      <c r="AD459" s="26"/>
    </row>
    <row r="460">
      <c r="H460" s="5"/>
      <c r="O460" s="5"/>
      <c r="V460" s="5"/>
      <c r="X460" s="28"/>
      <c r="Y460" s="26"/>
      <c r="Z460" s="26"/>
      <c r="AA460" s="26"/>
      <c r="AB460" s="26"/>
      <c r="AC460" s="26"/>
      <c r="AD460" s="26"/>
    </row>
    <row r="461">
      <c r="H461" s="5"/>
      <c r="O461" s="5"/>
      <c r="V461" s="5"/>
      <c r="X461" s="29"/>
      <c r="Y461" s="26"/>
      <c r="Z461" s="26"/>
      <c r="AA461" s="26"/>
      <c r="AB461" s="26"/>
      <c r="AC461" s="26"/>
      <c r="AD461" s="26"/>
    </row>
    <row r="462">
      <c r="H462" s="5"/>
      <c r="O462" s="5"/>
      <c r="V462" s="5"/>
      <c r="X462" s="28"/>
      <c r="Y462" s="26"/>
      <c r="Z462" s="26"/>
      <c r="AA462" s="26"/>
      <c r="AB462" s="26"/>
      <c r="AC462" s="26"/>
      <c r="AD462" s="26"/>
    </row>
    <row r="463">
      <c r="H463" s="5"/>
      <c r="O463" s="5"/>
      <c r="V463" s="5"/>
      <c r="X463" s="29"/>
      <c r="Y463" s="26"/>
      <c r="Z463" s="26"/>
      <c r="AA463" s="26"/>
      <c r="AB463" s="26"/>
      <c r="AC463" s="26"/>
      <c r="AD463" s="26"/>
    </row>
    <row r="464">
      <c r="H464" s="5"/>
      <c r="O464" s="5"/>
      <c r="V464" s="5"/>
      <c r="X464" s="28"/>
      <c r="Y464" s="26"/>
      <c r="Z464" s="26"/>
      <c r="AA464" s="26"/>
      <c r="AB464" s="26"/>
      <c r="AC464" s="26"/>
      <c r="AD464" s="26"/>
    </row>
    <row r="465">
      <c r="H465" s="5"/>
      <c r="O465" s="5"/>
      <c r="V465" s="5"/>
      <c r="X465" s="29"/>
      <c r="Y465" s="26"/>
      <c r="Z465" s="26"/>
      <c r="AA465" s="26"/>
      <c r="AB465" s="26"/>
      <c r="AC465" s="26"/>
      <c r="AD465" s="26"/>
    </row>
    <row r="466">
      <c r="H466" s="5"/>
      <c r="O466" s="5"/>
      <c r="V466" s="5"/>
      <c r="X466" s="28"/>
      <c r="Y466" s="26"/>
      <c r="Z466" s="26"/>
      <c r="AA466" s="26"/>
      <c r="AB466" s="26"/>
      <c r="AC466" s="26"/>
      <c r="AD466" s="26"/>
    </row>
    <row r="467">
      <c r="H467" s="5"/>
      <c r="O467" s="5"/>
      <c r="V467" s="5"/>
      <c r="X467" s="29"/>
      <c r="Y467" s="26"/>
      <c r="Z467" s="26"/>
      <c r="AA467" s="26"/>
      <c r="AB467" s="26"/>
      <c r="AC467" s="26"/>
      <c r="AD467" s="26"/>
    </row>
    <row r="468">
      <c r="H468" s="5"/>
      <c r="O468" s="5"/>
      <c r="V468" s="5"/>
      <c r="X468" s="28"/>
      <c r="Y468" s="26"/>
      <c r="Z468" s="26"/>
      <c r="AA468" s="26"/>
      <c r="AB468" s="26"/>
      <c r="AC468" s="26"/>
      <c r="AD468" s="26"/>
    </row>
    <row r="469">
      <c r="H469" s="5"/>
      <c r="O469" s="5"/>
      <c r="V469" s="5"/>
      <c r="X469" s="29"/>
      <c r="Y469" s="26"/>
      <c r="Z469" s="26"/>
      <c r="AA469" s="26"/>
      <c r="AB469" s="26"/>
      <c r="AC469" s="26"/>
      <c r="AD469" s="26"/>
    </row>
    <row r="470">
      <c r="H470" s="5"/>
      <c r="O470" s="5"/>
      <c r="V470" s="5"/>
      <c r="X470" s="28"/>
      <c r="Y470" s="26"/>
      <c r="Z470" s="26"/>
      <c r="AA470" s="26"/>
      <c r="AB470" s="26"/>
      <c r="AC470" s="26"/>
      <c r="AD470" s="26"/>
    </row>
    <row r="471">
      <c r="H471" s="5"/>
      <c r="O471" s="5"/>
      <c r="V471" s="5"/>
      <c r="X471" s="29"/>
      <c r="Y471" s="26"/>
      <c r="Z471" s="26"/>
      <c r="AA471" s="26"/>
      <c r="AB471" s="26"/>
      <c r="AC471" s="26"/>
      <c r="AD471" s="26"/>
    </row>
    <row r="472">
      <c r="H472" s="5"/>
      <c r="O472" s="5"/>
      <c r="V472" s="5"/>
      <c r="X472" s="28"/>
      <c r="Y472" s="26"/>
      <c r="Z472" s="26"/>
      <c r="AA472" s="26"/>
      <c r="AB472" s="26"/>
      <c r="AC472" s="26"/>
      <c r="AD472" s="26"/>
    </row>
    <row r="473">
      <c r="H473" s="5"/>
      <c r="O473" s="5"/>
      <c r="V473" s="5"/>
      <c r="X473" s="29"/>
      <c r="Y473" s="26"/>
      <c r="Z473" s="26"/>
      <c r="AA473" s="26"/>
      <c r="AB473" s="26"/>
      <c r="AC473" s="26"/>
      <c r="AD473" s="26"/>
    </row>
    <row r="474">
      <c r="H474" s="5"/>
      <c r="O474" s="5"/>
      <c r="V474" s="5"/>
      <c r="X474" s="28"/>
      <c r="Y474" s="26"/>
      <c r="Z474" s="26"/>
      <c r="AA474" s="26"/>
      <c r="AB474" s="26"/>
      <c r="AC474" s="26"/>
      <c r="AD474" s="26"/>
    </row>
    <row r="475">
      <c r="H475" s="5"/>
      <c r="O475" s="5"/>
      <c r="V475" s="5"/>
      <c r="X475" s="29"/>
      <c r="Y475" s="26"/>
      <c r="Z475" s="26"/>
      <c r="AA475" s="26"/>
      <c r="AB475" s="26"/>
      <c r="AC475" s="26"/>
      <c r="AD475" s="26"/>
    </row>
    <row r="476">
      <c r="H476" s="5"/>
      <c r="O476" s="5"/>
      <c r="V476" s="5"/>
      <c r="X476" s="28"/>
      <c r="Y476" s="26"/>
      <c r="Z476" s="26"/>
      <c r="AA476" s="26"/>
      <c r="AB476" s="26"/>
      <c r="AC476" s="26"/>
      <c r="AD476" s="26"/>
    </row>
    <row r="477">
      <c r="H477" s="5"/>
      <c r="O477" s="5"/>
      <c r="V477" s="5"/>
      <c r="X477" s="29"/>
      <c r="Y477" s="26"/>
      <c r="Z477" s="26"/>
      <c r="AA477" s="26"/>
      <c r="AB477" s="26"/>
      <c r="AC477" s="26"/>
      <c r="AD477" s="26"/>
    </row>
    <row r="478">
      <c r="H478" s="5"/>
      <c r="O478" s="5"/>
      <c r="V478" s="5"/>
      <c r="X478" s="28"/>
      <c r="Y478" s="26"/>
      <c r="Z478" s="26"/>
      <c r="AA478" s="26"/>
      <c r="AB478" s="26"/>
      <c r="AC478" s="26"/>
      <c r="AD478" s="26"/>
    </row>
    <row r="479">
      <c r="H479" s="5"/>
      <c r="O479" s="5"/>
      <c r="V479" s="5"/>
      <c r="X479" s="29"/>
      <c r="Y479" s="26"/>
      <c r="Z479" s="26"/>
      <c r="AA479" s="26"/>
      <c r="AB479" s="26"/>
      <c r="AC479" s="26"/>
      <c r="AD479" s="26"/>
    </row>
    <row r="480">
      <c r="H480" s="5"/>
      <c r="O480" s="5"/>
      <c r="V480" s="5"/>
      <c r="X480" s="28"/>
      <c r="Y480" s="26"/>
      <c r="Z480" s="26"/>
      <c r="AA480" s="26"/>
      <c r="AB480" s="26"/>
      <c r="AC480" s="26"/>
      <c r="AD480" s="26"/>
    </row>
    <row r="481">
      <c r="H481" s="5"/>
      <c r="O481" s="5"/>
      <c r="V481" s="5"/>
      <c r="X481" s="29"/>
      <c r="Y481" s="26"/>
      <c r="Z481" s="26"/>
      <c r="AA481" s="26"/>
      <c r="AB481" s="26"/>
      <c r="AC481" s="26"/>
      <c r="AD481" s="26"/>
    </row>
    <row r="482">
      <c r="H482" s="5"/>
      <c r="O482" s="5"/>
      <c r="V482" s="5"/>
      <c r="X482" s="28"/>
      <c r="Y482" s="26"/>
      <c r="Z482" s="26"/>
      <c r="AA482" s="26"/>
      <c r="AB482" s="26"/>
      <c r="AC482" s="26"/>
      <c r="AD482" s="26"/>
    </row>
    <row r="483">
      <c r="H483" s="5"/>
      <c r="O483" s="5"/>
      <c r="V483" s="5"/>
      <c r="X483" s="29"/>
      <c r="Y483" s="26"/>
      <c r="Z483" s="26"/>
      <c r="AA483" s="26"/>
      <c r="AB483" s="26"/>
      <c r="AC483" s="26"/>
      <c r="AD483" s="26"/>
    </row>
    <row r="484">
      <c r="H484" s="5"/>
      <c r="O484" s="5"/>
      <c r="V484" s="5"/>
      <c r="X484" s="28"/>
      <c r="Y484" s="26"/>
      <c r="Z484" s="26"/>
      <c r="AA484" s="26"/>
      <c r="AB484" s="26"/>
      <c r="AC484" s="26"/>
      <c r="AD484" s="26"/>
    </row>
    <row r="485">
      <c r="H485" s="5"/>
      <c r="O485" s="5"/>
      <c r="V485" s="5"/>
      <c r="X485" s="29"/>
      <c r="Y485" s="26"/>
      <c r="Z485" s="26"/>
      <c r="AA485" s="26"/>
      <c r="AB485" s="26"/>
      <c r="AC485" s="26"/>
      <c r="AD485" s="26"/>
    </row>
    <row r="486">
      <c r="H486" s="5"/>
      <c r="O486" s="5"/>
      <c r="V486" s="5"/>
      <c r="X486" s="28"/>
      <c r="Y486" s="26"/>
      <c r="Z486" s="26"/>
      <c r="AA486" s="26"/>
      <c r="AB486" s="26"/>
      <c r="AC486" s="26"/>
      <c r="AD486" s="26"/>
    </row>
    <row r="487">
      <c r="H487" s="5"/>
      <c r="O487" s="5"/>
      <c r="V487" s="5"/>
      <c r="X487" s="29"/>
      <c r="Y487" s="26"/>
      <c r="Z487" s="26"/>
      <c r="AA487" s="26"/>
      <c r="AB487" s="26"/>
      <c r="AC487" s="26"/>
      <c r="AD487" s="26"/>
    </row>
    <row r="488">
      <c r="H488" s="5"/>
      <c r="O488" s="5"/>
      <c r="V488" s="5"/>
      <c r="X488" s="28"/>
      <c r="Y488" s="26"/>
      <c r="Z488" s="26"/>
      <c r="AA488" s="26"/>
      <c r="AB488" s="26"/>
      <c r="AC488" s="26"/>
      <c r="AD488" s="26"/>
    </row>
    <row r="489">
      <c r="H489" s="5"/>
      <c r="O489" s="5"/>
      <c r="V489" s="5"/>
      <c r="X489" s="29"/>
      <c r="Y489" s="26"/>
      <c r="Z489" s="26"/>
      <c r="AA489" s="26"/>
      <c r="AB489" s="26"/>
      <c r="AC489" s="26"/>
      <c r="AD489" s="26"/>
    </row>
    <row r="490">
      <c r="H490" s="5"/>
      <c r="O490" s="5"/>
      <c r="V490" s="5"/>
      <c r="X490" s="28"/>
      <c r="Y490" s="26"/>
      <c r="Z490" s="26"/>
      <c r="AA490" s="26"/>
      <c r="AB490" s="26"/>
      <c r="AC490" s="26"/>
      <c r="AD490" s="26"/>
    </row>
    <row r="491">
      <c r="H491" s="5"/>
      <c r="O491" s="5"/>
      <c r="V491" s="5"/>
      <c r="X491" s="29"/>
      <c r="Y491" s="26"/>
      <c r="Z491" s="26"/>
      <c r="AA491" s="26"/>
      <c r="AB491" s="26"/>
      <c r="AC491" s="26"/>
      <c r="AD491" s="26"/>
    </row>
    <row r="492">
      <c r="H492" s="5"/>
      <c r="O492" s="5"/>
      <c r="V492" s="5"/>
      <c r="X492" s="28"/>
      <c r="Y492" s="26"/>
      <c r="Z492" s="26"/>
      <c r="AA492" s="26"/>
      <c r="AB492" s="26"/>
      <c r="AC492" s="26"/>
      <c r="AD492" s="26"/>
    </row>
    <row r="493">
      <c r="H493" s="5"/>
      <c r="O493" s="5"/>
      <c r="V493" s="5"/>
      <c r="X493" s="29"/>
      <c r="Y493" s="26"/>
      <c r="Z493" s="26"/>
      <c r="AA493" s="26"/>
      <c r="AB493" s="26"/>
      <c r="AC493" s="26"/>
      <c r="AD493" s="26"/>
    </row>
    <row r="494">
      <c r="H494" s="5"/>
      <c r="O494" s="5"/>
      <c r="V494" s="5"/>
      <c r="X494" s="28"/>
      <c r="Y494" s="26"/>
      <c r="Z494" s="26"/>
      <c r="AA494" s="26"/>
      <c r="AB494" s="26"/>
      <c r="AC494" s="26"/>
      <c r="AD494" s="26"/>
    </row>
    <row r="495">
      <c r="H495" s="5"/>
      <c r="O495" s="5"/>
      <c r="V495" s="5"/>
      <c r="X495" s="29"/>
      <c r="Y495" s="26"/>
      <c r="Z495" s="26"/>
      <c r="AA495" s="26"/>
      <c r="AB495" s="26"/>
      <c r="AC495" s="26"/>
      <c r="AD495" s="26"/>
    </row>
    <row r="496">
      <c r="H496" s="5"/>
      <c r="O496" s="5"/>
      <c r="V496" s="5"/>
      <c r="X496" s="28"/>
      <c r="Y496" s="26"/>
      <c r="Z496" s="26"/>
      <c r="AA496" s="26"/>
      <c r="AB496" s="26"/>
      <c r="AC496" s="26"/>
      <c r="AD496" s="26"/>
    </row>
    <row r="497">
      <c r="H497" s="5"/>
      <c r="O497" s="5"/>
      <c r="V497" s="5"/>
      <c r="X497" s="29"/>
      <c r="Y497" s="26"/>
      <c r="Z497" s="26"/>
      <c r="AA497" s="26"/>
      <c r="AB497" s="26"/>
      <c r="AC497" s="26"/>
      <c r="AD497" s="26"/>
    </row>
    <row r="498">
      <c r="H498" s="5"/>
      <c r="O498" s="5"/>
      <c r="V498" s="5"/>
      <c r="X498" s="28"/>
      <c r="Y498" s="26"/>
      <c r="Z498" s="26"/>
      <c r="AA498" s="26"/>
      <c r="AB498" s="26"/>
      <c r="AC498" s="26"/>
      <c r="AD498" s="26"/>
    </row>
    <row r="499">
      <c r="H499" s="5"/>
      <c r="O499" s="5"/>
      <c r="V499" s="5"/>
      <c r="X499" s="29"/>
      <c r="Y499" s="26"/>
      <c r="Z499" s="26"/>
      <c r="AA499" s="26"/>
      <c r="AB499" s="26"/>
      <c r="AC499" s="26"/>
      <c r="AD499" s="26"/>
    </row>
    <row r="500">
      <c r="H500" s="5"/>
      <c r="O500" s="5"/>
      <c r="V500" s="5"/>
      <c r="X500" s="28"/>
      <c r="Y500" s="26"/>
      <c r="Z500" s="26"/>
      <c r="AA500" s="26"/>
      <c r="AB500" s="26"/>
      <c r="AC500" s="26"/>
      <c r="AD500" s="26"/>
    </row>
    <row r="501">
      <c r="H501" s="5"/>
      <c r="O501" s="5"/>
      <c r="V501" s="5"/>
      <c r="X501" s="29"/>
      <c r="Y501" s="26"/>
      <c r="Z501" s="26"/>
      <c r="AA501" s="26"/>
      <c r="AB501" s="26"/>
      <c r="AC501" s="26"/>
      <c r="AD501" s="26"/>
    </row>
    <row r="502">
      <c r="H502" s="5"/>
      <c r="O502" s="5"/>
      <c r="V502" s="5"/>
      <c r="X502" s="28"/>
      <c r="Y502" s="26"/>
      <c r="Z502" s="26"/>
      <c r="AA502" s="26"/>
      <c r="AB502" s="26"/>
      <c r="AC502" s="26"/>
      <c r="AD502" s="26"/>
    </row>
    <row r="503">
      <c r="H503" s="5"/>
      <c r="O503" s="5"/>
      <c r="V503" s="5"/>
      <c r="X503" s="29"/>
      <c r="Y503" s="26"/>
      <c r="Z503" s="26"/>
      <c r="AA503" s="26"/>
      <c r="AB503" s="26"/>
      <c r="AC503" s="26"/>
      <c r="AD503" s="26"/>
    </row>
    <row r="504">
      <c r="H504" s="5"/>
      <c r="O504" s="5"/>
      <c r="V504" s="5"/>
      <c r="X504" s="28"/>
      <c r="Y504" s="26"/>
      <c r="Z504" s="26"/>
      <c r="AA504" s="26"/>
      <c r="AB504" s="26"/>
      <c r="AC504" s="26"/>
      <c r="AD504" s="26"/>
    </row>
    <row r="505">
      <c r="H505" s="5"/>
      <c r="O505" s="5"/>
      <c r="V505" s="5"/>
      <c r="X505" s="29"/>
      <c r="Y505" s="26"/>
      <c r="Z505" s="26"/>
      <c r="AA505" s="26"/>
      <c r="AB505" s="26"/>
      <c r="AC505" s="26"/>
      <c r="AD505" s="26"/>
    </row>
    <row r="506">
      <c r="H506" s="5"/>
      <c r="O506" s="5"/>
      <c r="V506" s="5"/>
      <c r="X506" s="28"/>
      <c r="Y506" s="26"/>
      <c r="Z506" s="26"/>
      <c r="AA506" s="26"/>
      <c r="AB506" s="26"/>
      <c r="AC506" s="26"/>
      <c r="AD506" s="26"/>
    </row>
    <row r="507">
      <c r="H507" s="5"/>
      <c r="O507" s="5"/>
      <c r="V507" s="5"/>
      <c r="X507" s="29"/>
      <c r="Y507" s="26"/>
      <c r="Z507" s="26"/>
      <c r="AA507" s="26"/>
      <c r="AB507" s="26"/>
      <c r="AC507" s="26"/>
      <c r="AD507" s="26"/>
    </row>
    <row r="508">
      <c r="H508" s="5"/>
      <c r="O508" s="5"/>
      <c r="V508" s="5"/>
      <c r="X508" s="28"/>
      <c r="Y508" s="26"/>
      <c r="Z508" s="26"/>
      <c r="AA508" s="26"/>
      <c r="AB508" s="26"/>
      <c r="AC508" s="26"/>
      <c r="AD508" s="26"/>
    </row>
    <row r="509">
      <c r="H509" s="5"/>
      <c r="O509" s="5"/>
      <c r="V509" s="5"/>
      <c r="X509" s="29"/>
      <c r="Y509" s="26"/>
      <c r="Z509" s="26"/>
      <c r="AA509" s="26"/>
      <c r="AB509" s="26"/>
      <c r="AC509" s="26"/>
      <c r="AD509" s="26"/>
    </row>
    <row r="510">
      <c r="H510" s="5"/>
      <c r="O510" s="5"/>
      <c r="V510" s="5"/>
      <c r="X510" s="28"/>
      <c r="Y510" s="26"/>
      <c r="Z510" s="26"/>
      <c r="AA510" s="26"/>
      <c r="AB510" s="26"/>
      <c r="AC510" s="26"/>
      <c r="AD510" s="26"/>
    </row>
    <row r="511">
      <c r="H511" s="5"/>
      <c r="O511" s="5"/>
      <c r="V511" s="5"/>
      <c r="X511" s="29"/>
      <c r="Y511" s="26"/>
      <c r="Z511" s="26"/>
      <c r="AA511" s="26"/>
      <c r="AB511" s="26"/>
      <c r="AC511" s="26"/>
      <c r="AD511" s="26"/>
    </row>
    <row r="512">
      <c r="H512" s="5"/>
      <c r="O512" s="5"/>
      <c r="V512" s="5"/>
      <c r="X512" s="28"/>
      <c r="Y512" s="26"/>
      <c r="Z512" s="26"/>
      <c r="AA512" s="26"/>
      <c r="AB512" s="26"/>
      <c r="AC512" s="26"/>
      <c r="AD512" s="26"/>
    </row>
    <row r="513">
      <c r="H513" s="5"/>
      <c r="O513" s="5"/>
      <c r="V513" s="5"/>
      <c r="X513" s="29"/>
      <c r="Y513" s="26"/>
      <c r="Z513" s="26"/>
      <c r="AA513" s="26"/>
      <c r="AB513" s="26"/>
      <c r="AC513" s="26"/>
      <c r="AD513" s="26"/>
    </row>
    <row r="514">
      <c r="H514" s="5"/>
      <c r="O514" s="5"/>
      <c r="V514" s="5"/>
      <c r="X514" s="28"/>
      <c r="Y514" s="26"/>
      <c r="Z514" s="26"/>
      <c r="AA514" s="26"/>
      <c r="AB514" s="26"/>
      <c r="AC514" s="26"/>
      <c r="AD514" s="26"/>
    </row>
    <row r="515">
      <c r="H515" s="5"/>
      <c r="O515" s="5"/>
      <c r="V515" s="5"/>
      <c r="X515" s="29"/>
      <c r="Y515" s="26"/>
      <c r="Z515" s="26"/>
      <c r="AA515" s="26"/>
      <c r="AB515" s="26"/>
      <c r="AC515" s="26"/>
      <c r="AD515" s="26"/>
    </row>
    <row r="516">
      <c r="H516" s="5"/>
      <c r="O516" s="5"/>
      <c r="V516" s="5"/>
      <c r="X516" s="28"/>
      <c r="Y516" s="26"/>
      <c r="Z516" s="26"/>
      <c r="AA516" s="26"/>
      <c r="AB516" s="26"/>
      <c r="AC516" s="26"/>
      <c r="AD516" s="26"/>
    </row>
    <row r="517">
      <c r="H517" s="5"/>
      <c r="O517" s="5"/>
      <c r="V517" s="5"/>
      <c r="X517" s="29"/>
      <c r="Y517" s="26"/>
      <c r="Z517" s="26"/>
      <c r="AA517" s="26"/>
      <c r="AB517" s="26"/>
      <c r="AC517" s="26"/>
      <c r="AD517" s="26"/>
    </row>
    <row r="518">
      <c r="H518" s="5"/>
      <c r="O518" s="5"/>
      <c r="V518" s="5"/>
      <c r="X518" s="28"/>
      <c r="Y518" s="26"/>
      <c r="Z518" s="26"/>
      <c r="AA518" s="26"/>
      <c r="AB518" s="26"/>
      <c r="AC518" s="26"/>
      <c r="AD518" s="26"/>
    </row>
    <row r="519">
      <c r="H519" s="5"/>
      <c r="O519" s="5"/>
      <c r="V519" s="5"/>
      <c r="X519" s="29"/>
      <c r="Y519" s="26"/>
      <c r="Z519" s="26"/>
      <c r="AA519" s="26"/>
      <c r="AB519" s="26"/>
      <c r="AC519" s="26"/>
      <c r="AD519" s="26"/>
    </row>
    <row r="520">
      <c r="H520" s="5"/>
      <c r="O520" s="5"/>
      <c r="V520" s="5"/>
      <c r="X520" s="28"/>
      <c r="Y520" s="26"/>
      <c r="Z520" s="26"/>
      <c r="AA520" s="26"/>
      <c r="AB520" s="26"/>
      <c r="AC520" s="26"/>
      <c r="AD520" s="26"/>
    </row>
    <row r="521">
      <c r="H521" s="5"/>
      <c r="O521" s="5"/>
      <c r="V521" s="5"/>
      <c r="X521" s="29"/>
      <c r="Y521" s="26"/>
      <c r="Z521" s="26"/>
      <c r="AA521" s="26"/>
      <c r="AB521" s="26"/>
      <c r="AC521" s="26"/>
      <c r="AD521" s="26"/>
    </row>
    <row r="522">
      <c r="H522" s="5"/>
      <c r="O522" s="5"/>
      <c r="V522" s="5"/>
      <c r="X522" s="28"/>
      <c r="Y522" s="26"/>
      <c r="Z522" s="26"/>
      <c r="AA522" s="26"/>
      <c r="AB522" s="26"/>
      <c r="AC522" s="26"/>
      <c r="AD522" s="26"/>
    </row>
    <row r="523">
      <c r="H523" s="5"/>
      <c r="O523" s="5"/>
      <c r="V523" s="5"/>
      <c r="X523" s="29"/>
      <c r="Y523" s="26"/>
      <c r="Z523" s="26"/>
      <c r="AA523" s="26"/>
      <c r="AB523" s="26"/>
      <c r="AC523" s="26"/>
      <c r="AD523" s="26"/>
    </row>
    <row r="524">
      <c r="H524" s="5"/>
      <c r="O524" s="5"/>
      <c r="V524" s="5"/>
      <c r="X524" s="28"/>
      <c r="Y524" s="26"/>
      <c r="Z524" s="26"/>
      <c r="AA524" s="26"/>
      <c r="AB524" s="26"/>
      <c r="AC524" s="26"/>
      <c r="AD524" s="26"/>
    </row>
    <row r="525">
      <c r="H525" s="5"/>
      <c r="O525" s="5"/>
      <c r="V525" s="5"/>
      <c r="X525" s="29"/>
      <c r="Y525" s="26"/>
      <c r="Z525" s="26"/>
      <c r="AA525" s="26"/>
      <c r="AB525" s="26"/>
      <c r="AC525" s="26"/>
      <c r="AD525" s="26"/>
    </row>
    <row r="526">
      <c r="H526" s="5"/>
      <c r="O526" s="5"/>
      <c r="V526" s="5"/>
      <c r="X526" s="28"/>
      <c r="Y526" s="26"/>
      <c r="Z526" s="26"/>
      <c r="AA526" s="26"/>
      <c r="AB526" s="26"/>
      <c r="AC526" s="26"/>
      <c r="AD526" s="26"/>
    </row>
    <row r="527">
      <c r="H527" s="5"/>
      <c r="O527" s="5"/>
      <c r="V527" s="5"/>
      <c r="X527" s="29"/>
      <c r="Y527" s="26"/>
      <c r="Z527" s="26"/>
      <c r="AA527" s="26"/>
      <c r="AB527" s="26"/>
      <c r="AC527" s="26"/>
      <c r="AD527" s="26"/>
    </row>
    <row r="528">
      <c r="H528" s="5"/>
      <c r="O528" s="5"/>
      <c r="V528" s="5"/>
      <c r="X528" s="28"/>
      <c r="Y528" s="26"/>
      <c r="Z528" s="26"/>
      <c r="AA528" s="26"/>
      <c r="AB528" s="26"/>
      <c r="AC528" s="26"/>
      <c r="AD528" s="26"/>
    </row>
    <row r="529">
      <c r="H529" s="5"/>
      <c r="O529" s="5"/>
      <c r="V529" s="5"/>
      <c r="X529" s="29"/>
      <c r="Y529" s="26"/>
      <c r="Z529" s="26"/>
      <c r="AA529" s="26"/>
      <c r="AB529" s="26"/>
      <c r="AC529" s="26"/>
      <c r="AD529" s="26"/>
    </row>
    <row r="530">
      <c r="H530" s="5"/>
      <c r="O530" s="5"/>
      <c r="V530" s="5"/>
      <c r="X530" s="28"/>
      <c r="Y530" s="26"/>
      <c r="Z530" s="26"/>
      <c r="AA530" s="26"/>
      <c r="AB530" s="26"/>
      <c r="AC530" s="26"/>
      <c r="AD530" s="26"/>
    </row>
    <row r="531">
      <c r="H531" s="5"/>
      <c r="O531" s="5"/>
      <c r="V531" s="5"/>
      <c r="X531" s="29"/>
      <c r="Y531" s="26"/>
      <c r="Z531" s="26"/>
      <c r="AA531" s="26"/>
      <c r="AB531" s="26"/>
      <c r="AC531" s="26"/>
      <c r="AD531" s="26"/>
    </row>
    <row r="532">
      <c r="H532" s="5"/>
      <c r="O532" s="5"/>
      <c r="V532" s="5"/>
      <c r="X532" s="28"/>
      <c r="Y532" s="26"/>
      <c r="Z532" s="26"/>
      <c r="AA532" s="26"/>
      <c r="AB532" s="26"/>
      <c r="AC532" s="26"/>
      <c r="AD532" s="26"/>
    </row>
    <row r="533">
      <c r="H533" s="5"/>
      <c r="O533" s="5"/>
      <c r="V533" s="5"/>
      <c r="X533" s="29"/>
      <c r="Y533" s="26"/>
      <c r="Z533" s="26"/>
      <c r="AA533" s="26"/>
      <c r="AB533" s="26"/>
      <c r="AC533" s="26"/>
      <c r="AD533" s="26"/>
    </row>
    <row r="534">
      <c r="H534" s="5"/>
      <c r="O534" s="5"/>
      <c r="V534" s="5"/>
      <c r="X534" s="28"/>
      <c r="Y534" s="26"/>
      <c r="Z534" s="26"/>
      <c r="AA534" s="26"/>
      <c r="AB534" s="26"/>
      <c r="AC534" s="26"/>
      <c r="AD534" s="26"/>
    </row>
    <row r="535">
      <c r="H535" s="5"/>
      <c r="O535" s="5"/>
      <c r="V535" s="5"/>
      <c r="X535" s="29"/>
      <c r="Y535" s="26"/>
      <c r="Z535" s="26"/>
      <c r="AA535" s="26"/>
      <c r="AB535" s="26"/>
      <c r="AC535" s="26"/>
      <c r="AD535" s="26"/>
    </row>
    <row r="536">
      <c r="H536" s="5"/>
      <c r="O536" s="5"/>
      <c r="V536" s="5"/>
      <c r="X536" s="28"/>
      <c r="Y536" s="26"/>
      <c r="Z536" s="26"/>
      <c r="AA536" s="26"/>
      <c r="AB536" s="26"/>
      <c r="AC536" s="26"/>
      <c r="AD536" s="26"/>
    </row>
    <row r="537">
      <c r="H537" s="5"/>
      <c r="O537" s="5"/>
      <c r="V537" s="5"/>
      <c r="X537" s="29"/>
      <c r="Y537" s="26"/>
      <c r="Z537" s="26"/>
      <c r="AA537" s="26"/>
      <c r="AB537" s="26"/>
      <c r="AC537" s="26"/>
      <c r="AD537" s="26"/>
    </row>
    <row r="538">
      <c r="H538" s="5"/>
      <c r="O538" s="5"/>
      <c r="V538" s="5"/>
      <c r="X538" s="28"/>
      <c r="Y538" s="26"/>
      <c r="Z538" s="26"/>
      <c r="AA538" s="26"/>
      <c r="AB538" s="26"/>
      <c r="AC538" s="26"/>
      <c r="AD538" s="26"/>
    </row>
    <row r="539">
      <c r="H539" s="5"/>
      <c r="O539" s="5"/>
      <c r="V539" s="5"/>
      <c r="X539" s="29"/>
      <c r="Y539" s="26"/>
      <c r="Z539" s="26"/>
      <c r="AA539" s="26"/>
      <c r="AB539" s="26"/>
      <c r="AC539" s="26"/>
      <c r="AD539" s="26"/>
    </row>
    <row r="540">
      <c r="H540" s="5"/>
      <c r="O540" s="5"/>
      <c r="V540" s="5"/>
      <c r="X540" s="28"/>
      <c r="Y540" s="26"/>
      <c r="Z540" s="26"/>
      <c r="AA540" s="26"/>
      <c r="AB540" s="26"/>
      <c r="AC540" s="26"/>
      <c r="AD540" s="26"/>
    </row>
    <row r="541">
      <c r="H541" s="5"/>
      <c r="O541" s="5"/>
      <c r="V541" s="5"/>
      <c r="X541" s="29"/>
      <c r="Y541" s="26"/>
      <c r="Z541" s="26"/>
      <c r="AA541" s="26"/>
      <c r="AB541" s="26"/>
      <c r="AC541" s="26"/>
      <c r="AD541" s="26"/>
    </row>
    <row r="542">
      <c r="H542" s="5"/>
      <c r="O542" s="5"/>
      <c r="V542" s="5"/>
      <c r="X542" s="28"/>
      <c r="Y542" s="26"/>
      <c r="Z542" s="26"/>
      <c r="AA542" s="26"/>
      <c r="AB542" s="26"/>
      <c r="AC542" s="26"/>
      <c r="AD542" s="26"/>
    </row>
    <row r="543">
      <c r="H543" s="5"/>
      <c r="O543" s="5"/>
      <c r="V543" s="5"/>
      <c r="X543" s="29"/>
      <c r="Y543" s="26"/>
      <c r="Z543" s="26"/>
      <c r="AA543" s="26"/>
      <c r="AB543" s="26"/>
      <c r="AC543" s="26"/>
      <c r="AD543" s="26"/>
    </row>
    <row r="544">
      <c r="H544" s="5"/>
      <c r="O544" s="5"/>
      <c r="V544" s="5"/>
      <c r="X544" s="28"/>
      <c r="Y544" s="26"/>
      <c r="Z544" s="26"/>
      <c r="AA544" s="26"/>
      <c r="AB544" s="26"/>
      <c r="AC544" s="26"/>
      <c r="AD544" s="26"/>
    </row>
    <row r="545">
      <c r="H545" s="5"/>
      <c r="O545" s="5"/>
      <c r="V545" s="5"/>
      <c r="X545" s="29"/>
      <c r="Y545" s="26"/>
      <c r="Z545" s="26"/>
      <c r="AA545" s="26"/>
      <c r="AB545" s="26"/>
      <c r="AC545" s="26"/>
      <c r="AD545" s="26"/>
    </row>
    <row r="546">
      <c r="H546" s="5"/>
      <c r="O546" s="5"/>
      <c r="V546" s="5"/>
      <c r="X546" s="28"/>
      <c r="Y546" s="26"/>
      <c r="Z546" s="26"/>
      <c r="AA546" s="26"/>
      <c r="AB546" s="26"/>
      <c r="AC546" s="26"/>
      <c r="AD546" s="26"/>
    </row>
    <row r="547">
      <c r="H547" s="5"/>
      <c r="O547" s="5"/>
      <c r="V547" s="5"/>
      <c r="X547" s="29"/>
      <c r="Y547" s="26"/>
      <c r="Z547" s="26"/>
      <c r="AA547" s="26"/>
      <c r="AB547" s="26"/>
      <c r="AC547" s="26"/>
      <c r="AD547" s="26"/>
    </row>
    <row r="548">
      <c r="H548" s="5"/>
      <c r="O548" s="5"/>
      <c r="V548" s="5"/>
      <c r="X548" s="28"/>
      <c r="Y548" s="26"/>
      <c r="Z548" s="26"/>
      <c r="AA548" s="26"/>
      <c r="AB548" s="26"/>
      <c r="AC548" s="26"/>
      <c r="AD548" s="26"/>
    </row>
    <row r="549">
      <c r="H549" s="5"/>
      <c r="O549" s="5"/>
      <c r="V549" s="5"/>
      <c r="X549" s="29"/>
      <c r="Y549" s="26"/>
      <c r="Z549" s="26"/>
      <c r="AA549" s="26"/>
      <c r="AB549" s="26"/>
      <c r="AC549" s="26"/>
      <c r="AD549" s="26"/>
    </row>
    <row r="550">
      <c r="H550" s="5"/>
      <c r="O550" s="5"/>
      <c r="V550" s="5"/>
      <c r="X550" s="28"/>
      <c r="Y550" s="26"/>
      <c r="Z550" s="26"/>
      <c r="AA550" s="26"/>
      <c r="AB550" s="26"/>
      <c r="AC550" s="26"/>
      <c r="AD550" s="26"/>
    </row>
    <row r="551">
      <c r="H551" s="5"/>
      <c r="O551" s="5"/>
      <c r="V551" s="5"/>
      <c r="X551" s="29"/>
      <c r="Y551" s="26"/>
      <c r="Z551" s="26"/>
      <c r="AA551" s="26"/>
      <c r="AB551" s="26"/>
      <c r="AC551" s="26"/>
      <c r="AD551" s="26"/>
    </row>
    <row r="552">
      <c r="H552" s="5"/>
      <c r="O552" s="5"/>
      <c r="V552" s="5"/>
      <c r="X552" s="28"/>
      <c r="Y552" s="26"/>
      <c r="Z552" s="26"/>
      <c r="AA552" s="26"/>
      <c r="AB552" s="26"/>
      <c r="AC552" s="26"/>
      <c r="AD552" s="26"/>
    </row>
    <row r="553">
      <c r="H553" s="5"/>
      <c r="O553" s="5"/>
      <c r="V553" s="5"/>
      <c r="X553" s="29"/>
      <c r="Y553" s="26"/>
      <c r="Z553" s="26"/>
      <c r="AA553" s="26"/>
      <c r="AB553" s="26"/>
      <c r="AC553" s="26"/>
      <c r="AD553" s="26"/>
    </row>
    <row r="554">
      <c r="H554" s="5"/>
      <c r="O554" s="5"/>
      <c r="V554" s="5"/>
      <c r="X554" s="28"/>
      <c r="Y554" s="26"/>
      <c r="Z554" s="26"/>
      <c r="AA554" s="26"/>
      <c r="AB554" s="26"/>
      <c r="AC554" s="26"/>
      <c r="AD554" s="26"/>
    </row>
    <row r="555">
      <c r="H555" s="5"/>
      <c r="O555" s="5"/>
      <c r="V555" s="5"/>
      <c r="X555" s="29"/>
      <c r="Y555" s="26"/>
      <c r="Z555" s="26"/>
      <c r="AA555" s="26"/>
      <c r="AB555" s="26"/>
      <c r="AC555" s="26"/>
      <c r="AD555" s="26"/>
    </row>
    <row r="556">
      <c r="H556" s="5"/>
      <c r="O556" s="5"/>
      <c r="V556" s="5"/>
      <c r="X556" s="28"/>
      <c r="Y556" s="26"/>
      <c r="Z556" s="26"/>
      <c r="AA556" s="26"/>
      <c r="AB556" s="26"/>
      <c r="AC556" s="26"/>
      <c r="AD556" s="26"/>
    </row>
    <row r="557">
      <c r="H557" s="5"/>
      <c r="O557" s="5"/>
      <c r="V557" s="5"/>
      <c r="X557" s="29"/>
      <c r="Y557" s="26"/>
      <c r="Z557" s="26"/>
      <c r="AA557" s="26"/>
      <c r="AB557" s="26"/>
      <c r="AC557" s="26"/>
      <c r="AD557" s="26"/>
    </row>
    <row r="558">
      <c r="H558" s="5"/>
      <c r="O558" s="5"/>
      <c r="V558" s="5"/>
      <c r="X558" s="28"/>
      <c r="Y558" s="26"/>
      <c r="Z558" s="26"/>
      <c r="AA558" s="26"/>
      <c r="AB558" s="26"/>
      <c r="AC558" s="26"/>
      <c r="AD558" s="26"/>
    </row>
    <row r="559">
      <c r="H559" s="5"/>
      <c r="O559" s="5"/>
      <c r="V559" s="5"/>
      <c r="X559" s="29"/>
      <c r="Y559" s="26"/>
      <c r="Z559" s="26"/>
      <c r="AA559" s="26"/>
      <c r="AB559" s="26"/>
      <c r="AC559" s="26"/>
      <c r="AD559" s="26"/>
    </row>
    <row r="560">
      <c r="H560" s="5"/>
      <c r="O560" s="5"/>
      <c r="V560" s="5"/>
      <c r="X560" s="28"/>
      <c r="Y560" s="26"/>
      <c r="Z560" s="26"/>
      <c r="AA560" s="26"/>
      <c r="AB560" s="26"/>
      <c r="AC560" s="26"/>
      <c r="AD560" s="26"/>
    </row>
    <row r="561">
      <c r="H561" s="5"/>
      <c r="O561" s="5"/>
      <c r="V561" s="5"/>
      <c r="X561" s="29"/>
      <c r="Y561" s="26"/>
      <c r="Z561" s="26"/>
      <c r="AA561" s="26"/>
      <c r="AB561" s="26"/>
      <c r="AC561" s="26"/>
      <c r="AD561" s="26"/>
    </row>
    <row r="562">
      <c r="H562" s="5"/>
      <c r="O562" s="5"/>
      <c r="V562" s="5"/>
      <c r="X562" s="28"/>
      <c r="Y562" s="26"/>
      <c r="Z562" s="26"/>
      <c r="AA562" s="26"/>
      <c r="AB562" s="26"/>
      <c r="AC562" s="26"/>
      <c r="AD562" s="26"/>
    </row>
    <row r="563">
      <c r="H563" s="5"/>
      <c r="O563" s="5"/>
      <c r="V563" s="5"/>
      <c r="X563" s="29"/>
      <c r="Y563" s="26"/>
      <c r="Z563" s="26"/>
      <c r="AA563" s="26"/>
      <c r="AB563" s="26"/>
      <c r="AC563" s="26"/>
      <c r="AD563" s="26"/>
    </row>
    <row r="564">
      <c r="H564" s="5"/>
      <c r="O564" s="5"/>
      <c r="V564" s="5"/>
      <c r="X564" s="28"/>
      <c r="Y564" s="26"/>
      <c r="Z564" s="26"/>
      <c r="AA564" s="26"/>
      <c r="AB564" s="26"/>
      <c r="AC564" s="26"/>
      <c r="AD564" s="26"/>
    </row>
    <row r="565">
      <c r="H565" s="5"/>
      <c r="O565" s="5"/>
      <c r="V565" s="5"/>
      <c r="X565" s="29"/>
      <c r="Y565" s="26"/>
      <c r="Z565" s="26"/>
      <c r="AA565" s="26"/>
      <c r="AB565" s="26"/>
      <c r="AC565" s="26"/>
      <c r="AD565" s="26"/>
    </row>
    <row r="566">
      <c r="H566" s="5"/>
      <c r="O566" s="5"/>
      <c r="V566" s="5"/>
      <c r="X566" s="28"/>
      <c r="Y566" s="26"/>
      <c r="Z566" s="26"/>
      <c r="AA566" s="26"/>
      <c r="AB566" s="26"/>
      <c r="AC566" s="26"/>
      <c r="AD566" s="26"/>
    </row>
    <row r="567">
      <c r="H567" s="5"/>
      <c r="O567" s="5"/>
      <c r="V567" s="5"/>
      <c r="X567" s="29"/>
      <c r="Y567" s="26"/>
      <c r="Z567" s="26"/>
      <c r="AA567" s="26"/>
      <c r="AB567" s="26"/>
      <c r="AC567" s="26"/>
      <c r="AD567" s="26"/>
    </row>
    <row r="568">
      <c r="H568" s="5"/>
      <c r="O568" s="5"/>
      <c r="V568" s="5"/>
      <c r="X568" s="28"/>
      <c r="Y568" s="26"/>
      <c r="Z568" s="26"/>
      <c r="AA568" s="26"/>
      <c r="AB568" s="26"/>
      <c r="AC568" s="26"/>
      <c r="AD568" s="26"/>
    </row>
    <row r="569">
      <c r="H569" s="5"/>
      <c r="O569" s="5"/>
      <c r="V569" s="5"/>
      <c r="X569" s="29"/>
      <c r="Y569" s="26"/>
      <c r="Z569" s="26"/>
      <c r="AA569" s="26"/>
      <c r="AB569" s="26"/>
      <c r="AC569" s="26"/>
      <c r="AD569" s="26"/>
    </row>
    <row r="570">
      <c r="H570" s="5"/>
      <c r="O570" s="5"/>
      <c r="V570" s="5"/>
      <c r="X570" s="28"/>
      <c r="Y570" s="26"/>
      <c r="Z570" s="26"/>
      <c r="AA570" s="26"/>
      <c r="AB570" s="26"/>
      <c r="AC570" s="26"/>
      <c r="AD570" s="26"/>
    </row>
    <row r="571">
      <c r="H571" s="5"/>
      <c r="O571" s="5"/>
      <c r="V571" s="5"/>
      <c r="X571" s="29"/>
      <c r="Y571" s="26"/>
      <c r="Z571" s="26"/>
      <c r="AA571" s="26"/>
      <c r="AB571" s="26"/>
      <c r="AC571" s="26"/>
      <c r="AD571" s="26"/>
    </row>
    <row r="572">
      <c r="H572" s="5"/>
      <c r="O572" s="5"/>
      <c r="V572" s="5"/>
      <c r="X572" s="28"/>
      <c r="Y572" s="26"/>
      <c r="Z572" s="26"/>
      <c r="AA572" s="26"/>
      <c r="AB572" s="26"/>
      <c r="AC572" s="26"/>
      <c r="AD572" s="26"/>
    </row>
    <row r="573">
      <c r="H573" s="5"/>
      <c r="O573" s="5"/>
      <c r="V573" s="5"/>
      <c r="X573" s="29"/>
      <c r="Y573" s="26"/>
      <c r="Z573" s="26"/>
      <c r="AA573" s="26"/>
      <c r="AB573" s="26"/>
      <c r="AC573" s="26"/>
      <c r="AD573" s="26"/>
    </row>
    <row r="574">
      <c r="H574" s="5"/>
      <c r="O574" s="5"/>
      <c r="V574" s="5"/>
      <c r="X574" s="28"/>
      <c r="Y574" s="26"/>
      <c r="Z574" s="26"/>
      <c r="AA574" s="26"/>
      <c r="AB574" s="26"/>
      <c r="AC574" s="26"/>
      <c r="AD574" s="26"/>
    </row>
    <row r="575">
      <c r="H575" s="5"/>
      <c r="O575" s="5"/>
      <c r="V575" s="5"/>
      <c r="X575" s="29"/>
      <c r="Y575" s="26"/>
      <c r="Z575" s="26"/>
      <c r="AA575" s="26"/>
      <c r="AB575" s="26"/>
      <c r="AC575" s="26"/>
      <c r="AD575" s="26"/>
    </row>
    <row r="576">
      <c r="H576" s="5"/>
      <c r="O576" s="5"/>
      <c r="V576" s="5"/>
      <c r="X576" s="28"/>
      <c r="Y576" s="26"/>
      <c r="Z576" s="26"/>
      <c r="AA576" s="26"/>
      <c r="AB576" s="26"/>
      <c r="AC576" s="26"/>
      <c r="AD576" s="26"/>
    </row>
    <row r="577">
      <c r="H577" s="5"/>
      <c r="O577" s="5"/>
      <c r="V577" s="5"/>
      <c r="X577" s="29"/>
      <c r="Y577" s="26"/>
      <c r="Z577" s="26"/>
      <c r="AA577" s="26"/>
      <c r="AB577" s="26"/>
      <c r="AC577" s="26"/>
      <c r="AD577" s="26"/>
    </row>
    <row r="578">
      <c r="H578" s="5"/>
      <c r="O578" s="5"/>
      <c r="V578" s="5"/>
      <c r="X578" s="28"/>
      <c r="Y578" s="26"/>
      <c r="Z578" s="26"/>
      <c r="AA578" s="26"/>
      <c r="AB578" s="26"/>
      <c r="AC578" s="26"/>
      <c r="AD578" s="26"/>
    </row>
    <row r="579">
      <c r="H579" s="5"/>
      <c r="O579" s="5"/>
      <c r="V579" s="5"/>
      <c r="X579" s="29"/>
      <c r="Y579" s="26"/>
      <c r="Z579" s="26"/>
      <c r="AA579" s="26"/>
      <c r="AB579" s="26"/>
      <c r="AC579" s="26"/>
      <c r="AD579" s="26"/>
    </row>
    <row r="580">
      <c r="H580" s="5"/>
      <c r="O580" s="5"/>
      <c r="V580" s="5"/>
      <c r="X580" s="28"/>
      <c r="Y580" s="26"/>
      <c r="Z580" s="26"/>
      <c r="AA580" s="26"/>
      <c r="AB580" s="26"/>
      <c r="AC580" s="26"/>
      <c r="AD580" s="26"/>
    </row>
    <row r="581">
      <c r="H581" s="5"/>
      <c r="O581" s="5"/>
      <c r="V581" s="5"/>
      <c r="X581" s="29"/>
      <c r="Y581" s="26"/>
      <c r="Z581" s="26"/>
      <c r="AA581" s="26"/>
      <c r="AB581" s="26"/>
      <c r="AC581" s="26"/>
      <c r="AD581" s="26"/>
    </row>
    <row r="582">
      <c r="H582" s="5"/>
      <c r="O582" s="5"/>
      <c r="V582" s="5"/>
      <c r="X582" s="28"/>
      <c r="Y582" s="26"/>
      <c r="Z582" s="26"/>
      <c r="AA582" s="26"/>
      <c r="AB582" s="26"/>
      <c r="AC582" s="26"/>
      <c r="AD582" s="26"/>
    </row>
    <row r="583">
      <c r="H583" s="5"/>
      <c r="O583" s="5"/>
      <c r="V583" s="5"/>
      <c r="X583" s="29"/>
      <c r="Y583" s="26"/>
      <c r="Z583" s="26"/>
      <c r="AA583" s="26"/>
      <c r="AB583" s="26"/>
      <c r="AC583" s="26"/>
      <c r="AD583" s="26"/>
    </row>
    <row r="584">
      <c r="H584" s="5"/>
      <c r="O584" s="5"/>
      <c r="V584" s="5"/>
      <c r="X584" s="28"/>
      <c r="Y584" s="26"/>
      <c r="Z584" s="26"/>
      <c r="AA584" s="26"/>
      <c r="AB584" s="26"/>
      <c r="AC584" s="26"/>
      <c r="AD584" s="26"/>
    </row>
    <row r="585">
      <c r="H585" s="5"/>
      <c r="O585" s="5"/>
      <c r="V585" s="5"/>
      <c r="X585" s="29"/>
      <c r="Y585" s="26"/>
      <c r="Z585" s="26"/>
      <c r="AA585" s="26"/>
      <c r="AB585" s="26"/>
      <c r="AC585" s="26"/>
      <c r="AD585" s="26"/>
    </row>
    <row r="586">
      <c r="H586" s="5"/>
      <c r="O586" s="5"/>
      <c r="V586" s="5"/>
      <c r="X586" s="28"/>
      <c r="Y586" s="26"/>
      <c r="Z586" s="26"/>
      <c r="AA586" s="26"/>
      <c r="AB586" s="26"/>
      <c r="AC586" s="26"/>
      <c r="AD586" s="26"/>
    </row>
    <row r="587">
      <c r="H587" s="5"/>
      <c r="O587" s="5"/>
      <c r="V587" s="5"/>
      <c r="X587" s="29"/>
      <c r="Y587" s="26"/>
      <c r="Z587" s="26"/>
      <c r="AA587" s="26"/>
      <c r="AB587" s="26"/>
      <c r="AC587" s="26"/>
      <c r="AD587" s="26"/>
    </row>
    <row r="588">
      <c r="H588" s="5"/>
      <c r="O588" s="5"/>
      <c r="V588" s="5"/>
      <c r="X588" s="28"/>
      <c r="Y588" s="26"/>
      <c r="Z588" s="26"/>
      <c r="AA588" s="26"/>
      <c r="AB588" s="26"/>
      <c r="AC588" s="26"/>
      <c r="AD588" s="26"/>
    </row>
    <row r="589">
      <c r="H589" s="5"/>
      <c r="O589" s="5"/>
      <c r="V589" s="5"/>
      <c r="X589" s="29"/>
      <c r="Y589" s="26"/>
      <c r="Z589" s="26"/>
      <c r="AA589" s="26"/>
      <c r="AB589" s="26"/>
      <c r="AC589" s="26"/>
      <c r="AD589" s="26"/>
    </row>
    <row r="590">
      <c r="H590" s="5"/>
      <c r="O590" s="5"/>
      <c r="V590" s="5"/>
      <c r="X590" s="28"/>
      <c r="Y590" s="26"/>
      <c r="Z590" s="26"/>
      <c r="AA590" s="26"/>
      <c r="AB590" s="26"/>
      <c r="AC590" s="26"/>
      <c r="AD590" s="26"/>
    </row>
    <row r="591">
      <c r="H591" s="5"/>
      <c r="O591" s="5"/>
      <c r="V591" s="5"/>
      <c r="X591" s="29"/>
      <c r="Y591" s="26"/>
      <c r="Z591" s="26"/>
      <c r="AA591" s="26"/>
      <c r="AB591" s="26"/>
      <c r="AC591" s="26"/>
      <c r="AD591" s="26"/>
    </row>
    <row r="592">
      <c r="H592" s="5"/>
      <c r="O592" s="5"/>
      <c r="V592" s="5"/>
      <c r="X592" s="28"/>
      <c r="Y592" s="26"/>
      <c r="Z592" s="26"/>
      <c r="AA592" s="26"/>
      <c r="AB592" s="26"/>
      <c r="AC592" s="26"/>
      <c r="AD592" s="26"/>
    </row>
    <row r="593">
      <c r="H593" s="5"/>
      <c r="O593" s="5"/>
      <c r="V593" s="5"/>
      <c r="X593" s="29"/>
      <c r="Y593" s="26"/>
      <c r="Z593" s="26"/>
      <c r="AA593" s="26"/>
      <c r="AB593" s="26"/>
      <c r="AC593" s="26"/>
      <c r="AD593" s="26"/>
    </row>
    <row r="594">
      <c r="H594" s="5"/>
      <c r="O594" s="5"/>
      <c r="V594" s="5"/>
      <c r="X594" s="28"/>
      <c r="Y594" s="26"/>
      <c r="Z594" s="26"/>
      <c r="AA594" s="26"/>
      <c r="AB594" s="26"/>
      <c r="AC594" s="26"/>
      <c r="AD594" s="26"/>
    </row>
    <row r="595">
      <c r="H595" s="5"/>
      <c r="O595" s="5"/>
      <c r="V595" s="5"/>
      <c r="X595" s="29"/>
      <c r="Y595" s="26"/>
      <c r="Z595" s="26"/>
      <c r="AA595" s="26"/>
      <c r="AB595" s="26"/>
      <c r="AC595" s="26"/>
      <c r="AD595" s="26"/>
    </row>
    <row r="596">
      <c r="H596" s="5"/>
      <c r="O596" s="5"/>
      <c r="V596" s="5"/>
      <c r="X596" s="28"/>
      <c r="Y596" s="26"/>
      <c r="Z596" s="26"/>
      <c r="AA596" s="26"/>
      <c r="AB596" s="26"/>
      <c r="AC596" s="26"/>
      <c r="AD596" s="26"/>
    </row>
    <row r="597">
      <c r="H597" s="5"/>
      <c r="O597" s="5"/>
      <c r="V597" s="5"/>
      <c r="X597" s="29"/>
      <c r="Y597" s="26"/>
      <c r="Z597" s="26"/>
      <c r="AA597" s="26"/>
      <c r="AB597" s="26"/>
      <c r="AC597" s="26"/>
      <c r="AD597" s="26"/>
    </row>
    <row r="598">
      <c r="H598" s="5"/>
      <c r="O598" s="5"/>
      <c r="V598" s="5"/>
      <c r="X598" s="28"/>
      <c r="Y598" s="26"/>
      <c r="Z598" s="26"/>
      <c r="AA598" s="26"/>
      <c r="AB598" s="26"/>
      <c r="AC598" s="26"/>
      <c r="AD598" s="26"/>
    </row>
    <row r="599">
      <c r="H599" s="5"/>
      <c r="O599" s="5"/>
      <c r="V599" s="5"/>
      <c r="X599" s="29"/>
      <c r="Y599" s="26"/>
      <c r="Z599" s="26"/>
      <c r="AA599" s="26"/>
      <c r="AB599" s="26"/>
      <c r="AC599" s="26"/>
      <c r="AD599" s="26"/>
    </row>
    <row r="600">
      <c r="H600" s="5"/>
      <c r="O600" s="5"/>
      <c r="V600" s="5"/>
      <c r="X600" s="28"/>
      <c r="Y600" s="26"/>
      <c r="Z600" s="26"/>
      <c r="AA600" s="26"/>
      <c r="AB600" s="26"/>
      <c r="AC600" s="26"/>
      <c r="AD600" s="26"/>
    </row>
    <row r="601">
      <c r="H601" s="5"/>
      <c r="O601" s="5"/>
      <c r="V601" s="5"/>
      <c r="X601" s="29"/>
      <c r="Y601" s="26"/>
      <c r="Z601" s="26"/>
      <c r="AA601" s="26"/>
      <c r="AB601" s="26"/>
      <c r="AC601" s="26"/>
      <c r="AD601" s="26"/>
    </row>
    <row r="602">
      <c r="H602" s="5"/>
      <c r="O602" s="5"/>
      <c r="V602" s="5"/>
      <c r="X602" s="28"/>
      <c r="Y602" s="26"/>
      <c r="Z602" s="26"/>
      <c r="AA602" s="26"/>
      <c r="AB602" s="26"/>
      <c r="AC602" s="26"/>
      <c r="AD602" s="26"/>
    </row>
    <row r="603">
      <c r="H603" s="5"/>
      <c r="O603" s="5"/>
      <c r="V603" s="5"/>
      <c r="X603" s="29"/>
      <c r="Y603" s="26"/>
      <c r="Z603" s="26"/>
      <c r="AA603" s="26"/>
      <c r="AB603" s="26"/>
      <c r="AC603" s="26"/>
      <c r="AD603" s="26"/>
    </row>
    <row r="604">
      <c r="H604" s="5"/>
      <c r="O604" s="5"/>
      <c r="V604" s="5"/>
      <c r="X604" s="28"/>
      <c r="Y604" s="26"/>
      <c r="Z604" s="26"/>
      <c r="AA604" s="26"/>
      <c r="AB604" s="26"/>
      <c r="AC604" s="26"/>
      <c r="AD604" s="26"/>
    </row>
    <row r="605">
      <c r="H605" s="5"/>
      <c r="O605" s="5"/>
      <c r="V605" s="5"/>
      <c r="X605" s="29"/>
      <c r="Y605" s="26"/>
      <c r="Z605" s="26"/>
      <c r="AA605" s="26"/>
      <c r="AB605" s="26"/>
      <c r="AC605" s="26"/>
      <c r="AD605" s="26"/>
    </row>
    <row r="606">
      <c r="H606" s="5"/>
      <c r="O606" s="5"/>
      <c r="V606" s="5"/>
      <c r="X606" s="28"/>
      <c r="Y606" s="26"/>
      <c r="Z606" s="26"/>
      <c r="AA606" s="26"/>
      <c r="AB606" s="26"/>
      <c r="AC606" s="26"/>
      <c r="AD606" s="26"/>
    </row>
    <row r="607">
      <c r="H607" s="5"/>
      <c r="O607" s="5"/>
      <c r="V607" s="5"/>
      <c r="X607" s="29"/>
      <c r="Y607" s="26"/>
      <c r="Z607" s="26"/>
      <c r="AA607" s="26"/>
      <c r="AB607" s="26"/>
      <c r="AC607" s="26"/>
      <c r="AD607" s="26"/>
    </row>
    <row r="608">
      <c r="H608" s="5"/>
      <c r="O608" s="5"/>
      <c r="V608" s="5"/>
      <c r="X608" s="28"/>
      <c r="Y608" s="26"/>
      <c r="Z608" s="26"/>
      <c r="AA608" s="26"/>
      <c r="AB608" s="26"/>
      <c r="AC608" s="26"/>
      <c r="AD608" s="26"/>
    </row>
    <row r="609">
      <c r="H609" s="5"/>
      <c r="O609" s="5"/>
      <c r="V609" s="5"/>
      <c r="X609" s="29"/>
      <c r="Y609" s="26"/>
      <c r="Z609" s="26"/>
      <c r="AA609" s="26"/>
      <c r="AB609" s="26"/>
      <c r="AC609" s="26"/>
      <c r="AD609" s="26"/>
    </row>
    <row r="610">
      <c r="H610" s="5"/>
      <c r="O610" s="5"/>
      <c r="V610" s="5"/>
      <c r="X610" s="28"/>
      <c r="Y610" s="26"/>
      <c r="Z610" s="26"/>
      <c r="AA610" s="26"/>
      <c r="AB610" s="26"/>
      <c r="AC610" s="26"/>
      <c r="AD610" s="26"/>
    </row>
    <row r="611">
      <c r="H611" s="5"/>
      <c r="O611" s="5"/>
      <c r="V611" s="5"/>
      <c r="X611" s="29"/>
      <c r="Y611" s="26"/>
      <c r="Z611" s="26"/>
      <c r="AA611" s="26"/>
      <c r="AB611" s="26"/>
      <c r="AC611" s="26"/>
      <c r="AD611" s="26"/>
    </row>
    <row r="612">
      <c r="H612" s="5"/>
      <c r="O612" s="5"/>
      <c r="V612" s="5"/>
      <c r="X612" s="28"/>
      <c r="Y612" s="26"/>
      <c r="Z612" s="26"/>
      <c r="AA612" s="26"/>
      <c r="AB612" s="26"/>
      <c r="AC612" s="26"/>
      <c r="AD612" s="26"/>
    </row>
    <row r="613">
      <c r="H613" s="5"/>
      <c r="O613" s="5"/>
      <c r="V613" s="5"/>
      <c r="X613" s="29"/>
      <c r="Y613" s="26"/>
      <c r="Z613" s="26"/>
      <c r="AA613" s="26"/>
      <c r="AB613" s="26"/>
      <c r="AC613" s="26"/>
      <c r="AD613" s="26"/>
    </row>
    <row r="614">
      <c r="H614" s="5"/>
      <c r="O614" s="5"/>
      <c r="V614" s="5"/>
      <c r="X614" s="28"/>
      <c r="Y614" s="26"/>
      <c r="Z614" s="26"/>
      <c r="AA614" s="26"/>
      <c r="AB614" s="26"/>
      <c r="AC614" s="26"/>
      <c r="AD614" s="26"/>
    </row>
    <row r="615">
      <c r="H615" s="5"/>
      <c r="O615" s="5"/>
      <c r="V615" s="5"/>
      <c r="X615" s="29"/>
      <c r="Y615" s="26"/>
      <c r="Z615" s="26"/>
      <c r="AA615" s="26"/>
      <c r="AB615" s="26"/>
      <c r="AC615" s="26"/>
      <c r="AD615" s="26"/>
    </row>
    <row r="616">
      <c r="H616" s="5"/>
      <c r="O616" s="5"/>
      <c r="V616" s="5"/>
      <c r="X616" s="28"/>
      <c r="Y616" s="26"/>
      <c r="Z616" s="26"/>
      <c r="AA616" s="26"/>
      <c r="AB616" s="26"/>
      <c r="AC616" s="26"/>
      <c r="AD616" s="26"/>
    </row>
    <row r="617">
      <c r="H617" s="5"/>
      <c r="O617" s="5"/>
      <c r="V617" s="5"/>
      <c r="X617" s="29"/>
      <c r="Y617" s="26"/>
      <c r="Z617" s="26"/>
      <c r="AA617" s="26"/>
      <c r="AB617" s="26"/>
      <c r="AC617" s="26"/>
      <c r="AD617" s="26"/>
    </row>
    <row r="618">
      <c r="H618" s="5"/>
      <c r="O618" s="5"/>
      <c r="V618" s="5"/>
      <c r="X618" s="28"/>
      <c r="Y618" s="26"/>
      <c r="Z618" s="26"/>
      <c r="AA618" s="26"/>
      <c r="AB618" s="26"/>
      <c r="AC618" s="26"/>
      <c r="AD618" s="26"/>
    </row>
    <row r="619">
      <c r="H619" s="5"/>
      <c r="O619" s="5"/>
      <c r="V619" s="5"/>
      <c r="X619" s="29"/>
      <c r="Y619" s="26"/>
      <c r="Z619" s="26"/>
      <c r="AA619" s="26"/>
      <c r="AB619" s="26"/>
      <c r="AC619" s="26"/>
      <c r="AD619" s="26"/>
    </row>
    <row r="620">
      <c r="H620" s="5"/>
      <c r="O620" s="5"/>
      <c r="V620" s="5"/>
      <c r="X620" s="28"/>
      <c r="Y620" s="26"/>
      <c r="Z620" s="26"/>
      <c r="AA620" s="26"/>
      <c r="AB620" s="26"/>
      <c r="AC620" s="26"/>
      <c r="AD620" s="26"/>
    </row>
    <row r="621">
      <c r="H621" s="5"/>
      <c r="O621" s="5"/>
      <c r="V621" s="5"/>
      <c r="X621" s="29"/>
      <c r="Y621" s="26"/>
      <c r="Z621" s="26"/>
      <c r="AA621" s="26"/>
      <c r="AB621" s="26"/>
      <c r="AC621" s="26"/>
      <c r="AD621" s="26"/>
    </row>
    <row r="622">
      <c r="H622" s="5"/>
      <c r="O622" s="5"/>
      <c r="V622" s="5"/>
      <c r="X622" s="28"/>
      <c r="Y622" s="26"/>
      <c r="Z622" s="26"/>
      <c r="AA622" s="26"/>
      <c r="AB622" s="26"/>
      <c r="AC622" s="26"/>
      <c r="AD622" s="26"/>
    </row>
    <row r="623">
      <c r="H623" s="5"/>
      <c r="O623" s="5"/>
      <c r="V623" s="5"/>
      <c r="X623" s="29"/>
      <c r="Y623" s="26"/>
      <c r="Z623" s="26"/>
      <c r="AA623" s="26"/>
      <c r="AB623" s="26"/>
      <c r="AC623" s="26"/>
      <c r="AD623" s="26"/>
    </row>
    <row r="624">
      <c r="H624" s="5"/>
      <c r="O624" s="5"/>
      <c r="V624" s="5"/>
      <c r="X624" s="28"/>
      <c r="Y624" s="26"/>
      <c r="Z624" s="26"/>
      <c r="AA624" s="26"/>
      <c r="AB624" s="26"/>
      <c r="AC624" s="26"/>
      <c r="AD624" s="26"/>
    </row>
    <row r="625">
      <c r="H625" s="5"/>
      <c r="O625" s="5"/>
      <c r="V625" s="5"/>
      <c r="X625" s="29"/>
      <c r="Y625" s="26"/>
      <c r="Z625" s="26"/>
      <c r="AA625" s="26"/>
      <c r="AB625" s="26"/>
      <c r="AC625" s="26"/>
      <c r="AD625" s="26"/>
    </row>
    <row r="626">
      <c r="H626" s="5"/>
      <c r="O626" s="5"/>
      <c r="V626" s="5"/>
      <c r="X626" s="28"/>
      <c r="Y626" s="26"/>
      <c r="Z626" s="26"/>
      <c r="AA626" s="26"/>
      <c r="AB626" s="26"/>
      <c r="AC626" s="26"/>
      <c r="AD626" s="26"/>
    </row>
    <row r="627">
      <c r="H627" s="5"/>
      <c r="O627" s="5"/>
      <c r="V627" s="5"/>
      <c r="X627" s="29"/>
      <c r="Y627" s="26"/>
      <c r="Z627" s="26"/>
      <c r="AA627" s="26"/>
      <c r="AB627" s="26"/>
      <c r="AC627" s="26"/>
      <c r="AD627" s="26"/>
    </row>
    <row r="628">
      <c r="H628" s="5"/>
      <c r="O628" s="5"/>
      <c r="V628" s="5"/>
      <c r="X628" s="28"/>
      <c r="Y628" s="26"/>
      <c r="Z628" s="26"/>
      <c r="AA628" s="26"/>
      <c r="AB628" s="26"/>
      <c r="AC628" s="26"/>
      <c r="AD628" s="26"/>
    </row>
    <row r="629">
      <c r="H629" s="5"/>
      <c r="O629" s="5"/>
      <c r="V629" s="5"/>
      <c r="X629" s="29"/>
      <c r="Y629" s="26"/>
      <c r="Z629" s="26"/>
      <c r="AA629" s="26"/>
      <c r="AB629" s="26"/>
      <c r="AC629" s="26"/>
      <c r="AD629" s="26"/>
    </row>
    <row r="630">
      <c r="H630" s="5"/>
      <c r="O630" s="5"/>
      <c r="V630" s="5"/>
      <c r="X630" s="28"/>
      <c r="Y630" s="26"/>
      <c r="Z630" s="26"/>
      <c r="AA630" s="26"/>
      <c r="AB630" s="26"/>
      <c r="AC630" s="26"/>
      <c r="AD630" s="26"/>
    </row>
    <row r="631">
      <c r="H631" s="5"/>
      <c r="O631" s="5"/>
      <c r="V631" s="5"/>
      <c r="X631" s="29"/>
      <c r="Y631" s="26"/>
      <c r="Z631" s="26"/>
      <c r="AA631" s="26"/>
      <c r="AB631" s="26"/>
      <c r="AC631" s="26"/>
      <c r="AD631" s="26"/>
    </row>
    <row r="632">
      <c r="H632" s="5"/>
      <c r="O632" s="5"/>
      <c r="V632" s="5"/>
      <c r="X632" s="28"/>
      <c r="Y632" s="26"/>
      <c r="Z632" s="26"/>
      <c r="AA632" s="26"/>
      <c r="AB632" s="26"/>
      <c r="AC632" s="26"/>
      <c r="AD632" s="26"/>
    </row>
    <row r="633">
      <c r="H633" s="5"/>
      <c r="O633" s="5"/>
      <c r="V633" s="5"/>
      <c r="X633" s="29"/>
      <c r="Y633" s="26"/>
      <c r="Z633" s="26"/>
      <c r="AA633" s="26"/>
      <c r="AB633" s="26"/>
      <c r="AC633" s="26"/>
      <c r="AD633" s="26"/>
    </row>
    <row r="634">
      <c r="H634" s="5"/>
      <c r="O634" s="5"/>
      <c r="V634" s="5"/>
      <c r="X634" s="28"/>
      <c r="Y634" s="26"/>
      <c r="Z634" s="26"/>
      <c r="AA634" s="26"/>
      <c r="AB634" s="26"/>
      <c r="AC634" s="26"/>
      <c r="AD634" s="26"/>
    </row>
    <row r="635">
      <c r="H635" s="5"/>
      <c r="O635" s="5"/>
      <c r="V635" s="5"/>
      <c r="X635" s="29"/>
      <c r="Y635" s="26"/>
      <c r="Z635" s="26"/>
      <c r="AA635" s="26"/>
      <c r="AB635" s="26"/>
      <c r="AC635" s="26"/>
      <c r="AD635" s="26"/>
    </row>
    <row r="636">
      <c r="H636" s="5"/>
      <c r="O636" s="5"/>
      <c r="V636" s="5"/>
      <c r="X636" s="28"/>
      <c r="Y636" s="26"/>
      <c r="Z636" s="26"/>
      <c r="AA636" s="26"/>
      <c r="AB636" s="26"/>
      <c r="AC636" s="26"/>
      <c r="AD636" s="26"/>
    </row>
    <row r="637">
      <c r="H637" s="5"/>
      <c r="O637" s="5"/>
      <c r="V637" s="5"/>
      <c r="X637" s="29"/>
      <c r="Y637" s="26"/>
      <c r="Z637" s="26"/>
      <c r="AA637" s="26"/>
      <c r="AB637" s="26"/>
      <c r="AC637" s="26"/>
      <c r="AD637" s="26"/>
    </row>
    <row r="638">
      <c r="H638" s="5"/>
      <c r="O638" s="5"/>
      <c r="V638" s="5"/>
      <c r="X638" s="28"/>
      <c r="Y638" s="26"/>
      <c r="Z638" s="26"/>
      <c r="AA638" s="26"/>
      <c r="AB638" s="26"/>
      <c r="AC638" s="26"/>
      <c r="AD638" s="26"/>
    </row>
    <row r="639">
      <c r="H639" s="5"/>
      <c r="O639" s="5"/>
      <c r="V639" s="5"/>
      <c r="X639" s="29"/>
      <c r="Y639" s="26"/>
      <c r="Z639" s="26"/>
      <c r="AA639" s="26"/>
      <c r="AB639" s="26"/>
      <c r="AC639" s="26"/>
      <c r="AD639" s="26"/>
    </row>
    <row r="640">
      <c r="H640" s="5"/>
      <c r="O640" s="5"/>
      <c r="V640" s="5"/>
      <c r="X640" s="28"/>
      <c r="Y640" s="26"/>
      <c r="Z640" s="26"/>
      <c r="AA640" s="26"/>
      <c r="AB640" s="26"/>
      <c r="AC640" s="26"/>
      <c r="AD640" s="26"/>
    </row>
    <row r="641">
      <c r="H641" s="5"/>
      <c r="O641" s="5"/>
      <c r="V641" s="5"/>
      <c r="X641" s="29"/>
      <c r="Y641" s="26"/>
      <c r="Z641" s="26"/>
      <c r="AA641" s="26"/>
      <c r="AB641" s="26"/>
      <c r="AC641" s="26"/>
      <c r="AD641" s="26"/>
    </row>
    <row r="642">
      <c r="H642" s="5"/>
      <c r="O642" s="5"/>
      <c r="V642" s="5"/>
      <c r="X642" s="28"/>
      <c r="Y642" s="26"/>
      <c r="Z642" s="26"/>
      <c r="AA642" s="26"/>
      <c r="AB642" s="26"/>
      <c r="AC642" s="26"/>
      <c r="AD642" s="26"/>
    </row>
    <row r="643">
      <c r="H643" s="5"/>
      <c r="O643" s="5"/>
      <c r="V643" s="5"/>
      <c r="X643" s="29"/>
      <c r="Y643" s="26"/>
      <c r="Z643" s="26"/>
      <c r="AA643" s="26"/>
      <c r="AB643" s="26"/>
      <c r="AC643" s="26"/>
      <c r="AD643" s="26"/>
    </row>
    <row r="644">
      <c r="H644" s="5"/>
      <c r="O644" s="5"/>
      <c r="V644" s="5"/>
      <c r="X644" s="28"/>
      <c r="Y644" s="26"/>
      <c r="Z644" s="26"/>
      <c r="AA644" s="26"/>
      <c r="AB644" s="26"/>
      <c r="AC644" s="26"/>
      <c r="AD644" s="26"/>
    </row>
    <row r="645">
      <c r="H645" s="5"/>
      <c r="O645" s="5"/>
      <c r="V645" s="5"/>
      <c r="X645" s="29"/>
      <c r="Y645" s="26"/>
      <c r="Z645" s="26"/>
      <c r="AA645" s="26"/>
      <c r="AB645" s="26"/>
      <c r="AC645" s="26"/>
      <c r="AD645" s="26"/>
    </row>
    <row r="646">
      <c r="H646" s="5"/>
      <c r="O646" s="5"/>
      <c r="V646" s="5"/>
      <c r="X646" s="28"/>
      <c r="Y646" s="26"/>
      <c r="Z646" s="26"/>
      <c r="AA646" s="26"/>
      <c r="AB646" s="26"/>
      <c r="AC646" s="26"/>
      <c r="AD646" s="26"/>
    </row>
    <row r="647">
      <c r="H647" s="5"/>
      <c r="O647" s="5"/>
      <c r="V647" s="5"/>
      <c r="X647" s="29"/>
      <c r="Y647" s="26"/>
      <c r="Z647" s="26"/>
      <c r="AA647" s="26"/>
      <c r="AB647" s="26"/>
      <c r="AC647" s="26"/>
      <c r="AD647" s="26"/>
    </row>
    <row r="648">
      <c r="H648" s="5"/>
      <c r="O648" s="5"/>
      <c r="V648" s="5"/>
      <c r="X648" s="28"/>
      <c r="Y648" s="26"/>
      <c r="Z648" s="26"/>
      <c r="AA648" s="26"/>
      <c r="AB648" s="26"/>
      <c r="AC648" s="26"/>
      <c r="AD648" s="26"/>
    </row>
    <row r="649">
      <c r="H649" s="5"/>
      <c r="O649" s="5"/>
      <c r="V649" s="5"/>
      <c r="X649" s="29"/>
      <c r="Y649" s="26"/>
      <c r="Z649" s="26"/>
      <c r="AA649" s="26"/>
      <c r="AB649" s="26"/>
      <c r="AC649" s="26"/>
      <c r="AD649" s="26"/>
    </row>
    <row r="650">
      <c r="H650" s="5"/>
      <c r="O650" s="5"/>
      <c r="V650" s="5"/>
      <c r="X650" s="28"/>
      <c r="Y650" s="26"/>
      <c r="Z650" s="26"/>
      <c r="AA650" s="26"/>
      <c r="AB650" s="26"/>
      <c r="AC650" s="26"/>
      <c r="AD650" s="26"/>
    </row>
    <row r="651">
      <c r="H651" s="5"/>
      <c r="O651" s="5"/>
      <c r="V651" s="5"/>
      <c r="X651" s="29"/>
      <c r="Y651" s="26"/>
      <c r="Z651" s="26"/>
      <c r="AA651" s="26"/>
      <c r="AB651" s="26"/>
      <c r="AC651" s="26"/>
      <c r="AD651" s="26"/>
    </row>
    <row r="652">
      <c r="H652" s="5"/>
      <c r="O652" s="5"/>
      <c r="V652" s="5"/>
      <c r="X652" s="28"/>
      <c r="Y652" s="26"/>
      <c r="Z652" s="26"/>
      <c r="AA652" s="26"/>
      <c r="AB652" s="26"/>
      <c r="AC652" s="26"/>
      <c r="AD652" s="26"/>
    </row>
    <row r="653">
      <c r="H653" s="5"/>
      <c r="O653" s="5"/>
      <c r="V653" s="5"/>
      <c r="X653" s="29"/>
      <c r="Y653" s="26"/>
      <c r="Z653" s="26"/>
      <c r="AA653" s="26"/>
      <c r="AB653" s="26"/>
      <c r="AC653" s="26"/>
      <c r="AD653" s="26"/>
    </row>
    <row r="654">
      <c r="H654" s="5"/>
      <c r="O654" s="5"/>
      <c r="V654" s="5"/>
      <c r="X654" s="28"/>
      <c r="Y654" s="26"/>
      <c r="Z654" s="26"/>
      <c r="AA654" s="26"/>
      <c r="AB654" s="26"/>
      <c r="AC654" s="26"/>
      <c r="AD654" s="26"/>
    </row>
    <row r="655">
      <c r="H655" s="5"/>
      <c r="O655" s="5"/>
      <c r="V655" s="5"/>
      <c r="X655" s="29"/>
      <c r="Y655" s="26"/>
      <c r="Z655" s="26"/>
      <c r="AA655" s="26"/>
      <c r="AB655" s="26"/>
      <c r="AC655" s="26"/>
      <c r="AD655" s="26"/>
    </row>
    <row r="656">
      <c r="H656" s="5"/>
      <c r="O656" s="5"/>
      <c r="V656" s="5"/>
      <c r="X656" s="28"/>
      <c r="Y656" s="26"/>
      <c r="Z656" s="26"/>
      <c r="AA656" s="26"/>
      <c r="AB656" s="26"/>
      <c r="AC656" s="26"/>
      <c r="AD656" s="26"/>
    </row>
    <row r="657">
      <c r="H657" s="5"/>
      <c r="O657" s="5"/>
      <c r="V657" s="5"/>
      <c r="X657" s="29"/>
      <c r="Y657" s="26"/>
      <c r="Z657" s="26"/>
      <c r="AA657" s="26"/>
      <c r="AB657" s="26"/>
      <c r="AC657" s="26"/>
      <c r="AD657" s="26"/>
    </row>
    <row r="658">
      <c r="H658" s="5"/>
      <c r="O658" s="5"/>
      <c r="V658" s="5"/>
      <c r="X658" s="28"/>
      <c r="Y658" s="26"/>
      <c r="Z658" s="26"/>
      <c r="AA658" s="26"/>
      <c r="AB658" s="26"/>
      <c r="AC658" s="26"/>
      <c r="AD658" s="26"/>
    </row>
    <row r="659">
      <c r="H659" s="5"/>
      <c r="O659" s="5"/>
      <c r="V659" s="5"/>
      <c r="X659" s="29"/>
      <c r="Y659" s="26"/>
      <c r="Z659" s="26"/>
      <c r="AA659" s="26"/>
      <c r="AB659" s="26"/>
      <c r="AC659" s="26"/>
      <c r="AD659" s="26"/>
    </row>
    <row r="660">
      <c r="H660" s="5"/>
      <c r="O660" s="5"/>
      <c r="V660" s="5"/>
      <c r="X660" s="28"/>
      <c r="Y660" s="26"/>
      <c r="Z660" s="26"/>
      <c r="AA660" s="26"/>
      <c r="AB660" s="26"/>
      <c r="AC660" s="26"/>
      <c r="AD660" s="26"/>
    </row>
    <row r="661">
      <c r="H661" s="5"/>
      <c r="O661" s="5"/>
      <c r="V661" s="5"/>
      <c r="X661" s="29"/>
      <c r="Y661" s="26"/>
      <c r="Z661" s="26"/>
      <c r="AA661" s="26"/>
      <c r="AB661" s="26"/>
      <c r="AC661" s="26"/>
      <c r="AD661" s="26"/>
    </row>
    <row r="662">
      <c r="H662" s="5"/>
      <c r="O662" s="5"/>
      <c r="V662" s="5"/>
      <c r="X662" s="28"/>
      <c r="Y662" s="26"/>
      <c r="Z662" s="26"/>
      <c r="AA662" s="26"/>
      <c r="AB662" s="26"/>
      <c r="AC662" s="26"/>
      <c r="AD662" s="26"/>
    </row>
    <row r="663">
      <c r="H663" s="5"/>
      <c r="O663" s="5"/>
      <c r="V663" s="5"/>
      <c r="X663" s="29"/>
      <c r="Y663" s="26"/>
      <c r="Z663" s="26"/>
      <c r="AA663" s="26"/>
      <c r="AB663" s="26"/>
      <c r="AC663" s="26"/>
      <c r="AD663" s="26"/>
    </row>
    <row r="664">
      <c r="H664" s="5"/>
      <c r="O664" s="5"/>
      <c r="V664" s="5"/>
      <c r="X664" s="28"/>
      <c r="Y664" s="26"/>
      <c r="Z664" s="26"/>
      <c r="AA664" s="26"/>
      <c r="AB664" s="26"/>
      <c r="AC664" s="26"/>
      <c r="AD664" s="26"/>
    </row>
    <row r="665">
      <c r="H665" s="5"/>
      <c r="O665" s="5"/>
      <c r="V665" s="5"/>
      <c r="X665" s="29"/>
      <c r="Y665" s="26"/>
      <c r="Z665" s="26"/>
      <c r="AA665" s="26"/>
      <c r="AB665" s="26"/>
      <c r="AC665" s="26"/>
      <c r="AD665" s="26"/>
    </row>
    <row r="666">
      <c r="H666" s="5"/>
      <c r="O666" s="5"/>
      <c r="V666" s="5"/>
      <c r="X666" s="28"/>
      <c r="Y666" s="26"/>
      <c r="Z666" s="26"/>
      <c r="AA666" s="26"/>
      <c r="AB666" s="26"/>
      <c r="AC666" s="26"/>
      <c r="AD666" s="26"/>
    </row>
    <row r="667">
      <c r="H667" s="5"/>
      <c r="O667" s="5"/>
      <c r="V667" s="5"/>
      <c r="X667" s="29"/>
      <c r="Y667" s="26"/>
      <c r="Z667" s="26"/>
      <c r="AA667" s="26"/>
      <c r="AB667" s="26"/>
      <c r="AC667" s="26"/>
      <c r="AD667" s="26"/>
    </row>
    <row r="668">
      <c r="H668" s="5"/>
      <c r="O668" s="5"/>
      <c r="V668" s="5"/>
      <c r="X668" s="28"/>
      <c r="Y668" s="26"/>
      <c r="Z668" s="26"/>
      <c r="AA668" s="26"/>
      <c r="AB668" s="26"/>
      <c r="AC668" s="26"/>
      <c r="AD668" s="26"/>
    </row>
    <row r="669">
      <c r="H669" s="5"/>
      <c r="O669" s="5"/>
      <c r="V669" s="5"/>
      <c r="X669" s="29"/>
      <c r="Y669" s="26"/>
      <c r="Z669" s="26"/>
      <c r="AA669" s="26"/>
      <c r="AB669" s="26"/>
      <c r="AC669" s="26"/>
      <c r="AD669" s="26"/>
    </row>
    <row r="670">
      <c r="H670" s="5"/>
      <c r="O670" s="5"/>
      <c r="V670" s="5"/>
      <c r="X670" s="28"/>
      <c r="Y670" s="26"/>
      <c r="Z670" s="26"/>
      <c r="AA670" s="26"/>
      <c r="AB670" s="26"/>
      <c r="AC670" s="26"/>
      <c r="AD670" s="26"/>
    </row>
    <row r="671">
      <c r="H671" s="5"/>
      <c r="O671" s="5"/>
      <c r="V671" s="5"/>
      <c r="X671" s="29"/>
      <c r="Y671" s="26"/>
      <c r="Z671" s="26"/>
      <c r="AA671" s="26"/>
      <c r="AB671" s="26"/>
      <c r="AC671" s="26"/>
      <c r="AD671" s="26"/>
    </row>
    <row r="672">
      <c r="H672" s="5"/>
      <c r="O672" s="5"/>
      <c r="V672" s="5"/>
      <c r="X672" s="28"/>
      <c r="Y672" s="26"/>
      <c r="Z672" s="26"/>
      <c r="AA672" s="26"/>
      <c r="AB672" s="26"/>
      <c r="AC672" s="26"/>
      <c r="AD672" s="26"/>
    </row>
    <row r="673">
      <c r="H673" s="5"/>
      <c r="O673" s="5"/>
      <c r="V673" s="5"/>
      <c r="X673" s="29"/>
      <c r="Y673" s="26"/>
      <c r="Z673" s="26"/>
      <c r="AA673" s="26"/>
      <c r="AB673" s="26"/>
      <c r="AC673" s="26"/>
      <c r="AD673" s="26"/>
    </row>
    <row r="674">
      <c r="H674" s="5"/>
      <c r="O674" s="5"/>
      <c r="V674" s="5"/>
      <c r="X674" s="28"/>
      <c r="Y674" s="26"/>
      <c r="Z674" s="26"/>
      <c r="AA674" s="26"/>
      <c r="AB674" s="26"/>
      <c r="AC674" s="26"/>
      <c r="AD674" s="26"/>
    </row>
    <row r="675">
      <c r="H675" s="5"/>
      <c r="O675" s="5"/>
      <c r="V675" s="5"/>
      <c r="X675" s="29"/>
      <c r="Y675" s="26"/>
      <c r="Z675" s="26"/>
      <c r="AA675" s="26"/>
      <c r="AB675" s="26"/>
      <c r="AC675" s="26"/>
      <c r="AD675" s="26"/>
    </row>
    <row r="676">
      <c r="H676" s="5"/>
      <c r="O676" s="5"/>
      <c r="V676" s="5"/>
      <c r="X676" s="28"/>
      <c r="Y676" s="26"/>
      <c r="Z676" s="26"/>
      <c r="AA676" s="26"/>
      <c r="AB676" s="26"/>
      <c r="AC676" s="26"/>
      <c r="AD676" s="26"/>
    </row>
    <row r="677">
      <c r="H677" s="5"/>
      <c r="O677" s="5"/>
      <c r="V677" s="5"/>
      <c r="X677" s="29"/>
      <c r="Y677" s="26"/>
      <c r="Z677" s="26"/>
      <c r="AA677" s="26"/>
      <c r="AB677" s="26"/>
      <c r="AC677" s="26"/>
      <c r="AD677" s="26"/>
    </row>
    <row r="678">
      <c r="H678" s="5"/>
      <c r="O678" s="5"/>
      <c r="V678" s="5"/>
      <c r="X678" s="28"/>
      <c r="Y678" s="26"/>
      <c r="Z678" s="26"/>
      <c r="AA678" s="26"/>
      <c r="AB678" s="26"/>
      <c r="AC678" s="26"/>
      <c r="AD678" s="26"/>
    </row>
    <row r="679">
      <c r="H679" s="5"/>
      <c r="O679" s="5"/>
      <c r="V679" s="5"/>
      <c r="X679" s="29"/>
      <c r="Y679" s="26"/>
      <c r="Z679" s="26"/>
      <c r="AA679" s="26"/>
      <c r="AB679" s="26"/>
      <c r="AC679" s="26"/>
      <c r="AD679" s="26"/>
    </row>
    <row r="680">
      <c r="H680" s="5"/>
      <c r="O680" s="5"/>
      <c r="V680" s="5"/>
      <c r="X680" s="28"/>
      <c r="Y680" s="26"/>
      <c r="Z680" s="26"/>
      <c r="AA680" s="26"/>
      <c r="AB680" s="26"/>
      <c r="AC680" s="26"/>
      <c r="AD680" s="26"/>
    </row>
    <row r="681">
      <c r="H681" s="5"/>
      <c r="O681" s="5"/>
      <c r="V681" s="5"/>
      <c r="X681" s="29"/>
      <c r="Y681" s="26"/>
      <c r="Z681" s="26"/>
      <c r="AA681" s="26"/>
      <c r="AB681" s="26"/>
      <c r="AC681" s="26"/>
      <c r="AD681" s="26"/>
    </row>
    <row r="682">
      <c r="H682" s="5"/>
      <c r="O682" s="5"/>
      <c r="V682" s="5"/>
      <c r="X682" s="28"/>
      <c r="Y682" s="26"/>
      <c r="Z682" s="26"/>
      <c r="AA682" s="26"/>
      <c r="AB682" s="26"/>
      <c r="AC682" s="26"/>
      <c r="AD682" s="26"/>
    </row>
    <row r="683">
      <c r="H683" s="5"/>
      <c r="O683" s="5"/>
      <c r="V683" s="5"/>
      <c r="X683" s="29"/>
      <c r="Y683" s="26"/>
      <c r="Z683" s="26"/>
      <c r="AA683" s="26"/>
      <c r="AB683" s="26"/>
      <c r="AC683" s="26"/>
      <c r="AD683" s="26"/>
    </row>
    <row r="684">
      <c r="H684" s="5"/>
      <c r="O684" s="5"/>
      <c r="V684" s="5"/>
      <c r="X684" s="28"/>
      <c r="Y684" s="26"/>
      <c r="Z684" s="26"/>
      <c r="AA684" s="26"/>
      <c r="AB684" s="26"/>
      <c r="AC684" s="26"/>
      <c r="AD684" s="26"/>
    </row>
    <row r="685">
      <c r="H685" s="5"/>
      <c r="O685" s="5"/>
      <c r="V685" s="5"/>
      <c r="X685" s="29"/>
      <c r="Y685" s="26"/>
      <c r="Z685" s="26"/>
      <c r="AA685" s="26"/>
      <c r="AB685" s="26"/>
      <c r="AC685" s="26"/>
      <c r="AD685" s="26"/>
    </row>
    <row r="686">
      <c r="H686" s="5"/>
      <c r="O686" s="5"/>
      <c r="V686" s="5"/>
      <c r="X686" s="28"/>
      <c r="Y686" s="26"/>
      <c r="Z686" s="26"/>
      <c r="AA686" s="26"/>
      <c r="AB686" s="26"/>
      <c r="AC686" s="26"/>
      <c r="AD686" s="26"/>
    </row>
    <row r="687">
      <c r="H687" s="5"/>
      <c r="O687" s="5"/>
      <c r="V687" s="5"/>
      <c r="X687" s="29"/>
      <c r="Y687" s="26"/>
      <c r="Z687" s="26"/>
      <c r="AA687" s="26"/>
      <c r="AB687" s="26"/>
      <c r="AC687" s="26"/>
      <c r="AD687" s="26"/>
    </row>
    <row r="688">
      <c r="H688" s="5"/>
      <c r="O688" s="5"/>
      <c r="V688" s="5"/>
      <c r="X688" s="28"/>
      <c r="Y688" s="26"/>
      <c r="Z688" s="26"/>
      <c r="AA688" s="26"/>
      <c r="AB688" s="26"/>
      <c r="AC688" s="26"/>
      <c r="AD688" s="26"/>
    </row>
    <row r="689">
      <c r="H689" s="5"/>
      <c r="O689" s="5"/>
      <c r="V689" s="5"/>
      <c r="X689" s="29"/>
      <c r="Y689" s="26"/>
      <c r="Z689" s="26"/>
      <c r="AA689" s="26"/>
      <c r="AB689" s="26"/>
      <c r="AC689" s="26"/>
      <c r="AD689" s="26"/>
    </row>
    <row r="690">
      <c r="H690" s="5"/>
      <c r="O690" s="5"/>
      <c r="V690" s="5"/>
      <c r="X690" s="28"/>
      <c r="Y690" s="26"/>
      <c r="Z690" s="26"/>
      <c r="AA690" s="26"/>
      <c r="AB690" s="26"/>
      <c r="AC690" s="26"/>
      <c r="AD690" s="26"/>
    </row>
    <row r="691">
      <c r="H691" s="5"/>
      <c r="O691" s="5"/>
      <c r="V691" s="5"/>
      <c r="X691" s="29"/>
      <c r="Y691" s="26"/>
      <c r="Z691" s="26"/>
      <c r="AA691" s="26"/>
      <c r="AB691" s="26"/>
      <c r="AC691" s="26"/>
      <c r="AD691" s="26"/>
    </row>
    <row r="692">
      <c r="H692" s="5"/>
      <c r="O692" s="5"/>
      <c r="V692" s="5"/>
      <c r="X692" s="28"/>
      <c r="Y692" s="26"/>
      <c r="Z692" s="26"/>
      <c r="AA692" s="26"/>
      <c r="AB692" s="26"/>
      <c r="AC692" s="26"/>
      <c r="AD692" s="26"/>
    </row>
    <row r="693">
      <c r="H693" s="5"/>
      <c r="O693" s="5"/>
      <c r="V693" s="5"/>
      <c r="X693" s="29"/>
      <c r="Y693" s="26"/>
      <c r="Z693" s="26"/>
      <c r="AA693" s="26"/>
      <c r="AB693" s="26"/>
      <c r="AC693" s="26"/>
      <c r="AD693" s="26"/>
    </row>
    <row r="694">
      <c r="H694" s="5"/>
      <c r="O694" s="5"/>
      <c r="V694" s="5"/>
      <c r="X694" s="28"/>
      <c r="Y694" s="26"/>
      <c r="Z694" s="26"/>
      <c r="AA694" s="26"/>
      <c r="AB694" s="26"/>
      <c r="AC694" s="26"/>
      <c r="AD694" s="26"/>
    </row>
    <row r="695">
      <c r="H695" s="5"/>
      <c r="O695" s="5"/>
      <c r="V695" s="5"/>
      <c r="X695" s="29"/>
      <c r="Y695" s="26"/>
      <c r="Z695" s="26"/>
      <c r="AA695" s="26"/>
      <c r="AB695" s="26"/>
      <c r="AC695" s="26"/>
      <c r="AD695" s="26"/>
    </row>
    <row r="696">
      <c r="H696" s="5"/>
      <c r="O696" s="5"/>
      <c r="V696" s="5"/>
      <c r="X696" s="28"/>
      <c r="Y696" s="26"/>
      <c r="Z696" s="26"/>
      <c r="AA696" s="26"/>
      <c r="AB696" s="26"/>
      <c r="AC696" s="26"/>
      <c r="AD696" s="26"/>
    </row>
    <row r="697">
      <c r="H697" s="5"/>
      <c r="O697" s="5"/>
      <c r="V697" s="5"/>
      <c r="X697" s="29"/>
      <c r="Y697" s="26"/>
      <c r="Z697" s="26"/>
      <c r="AA697" s="26"/>
      <c r="AB697" s="26"/>
      <c r="AC697" s="26"/>
      <c r="AD697" s="26"/>
    </row>
    <row r="698">
      <c r="H698" s="5"/>
      <c r="O698" s="5"/>
      <c r="V698" s="5"/>
      <c r="X698" s="28"/>
      <c r="Y698" s="26"/>
      <c r="Z698" s="26"/>
      <c r="AA698" s="26"/>
      <c r="AB698" s="26"/>
      <c r="AC698" s="26"/>
      <c r="AD698" s="26"/>
    </row>
    <row r="699">
      <c r="H699" s="5"/>
      <c r="O699" s="5"/>
      <c r="V699" s="5"/>
      <c r="X699" s="29"/>
      <c r="Y699" s="26"/>
      <c r="Z699" s="26"/>
      <c r="AA699" s="26"/>
      <c r="AB699" s="26"/>
      <c r="AC699" s="26"/>
      <c r="AD699" s="26"/>
    </row>
    <row r="700">
      <c r="H700" s="5"/>
      <c r="O700" s="5"/>
      <c r="V700" s="5"/>
      <c r="X700" s="28"/>
      <c r="Y700" s="26"/>
      <c r="Z700" s="26"/>
      <c r="AA700" s="26"/>
      <c r="AB700" s="26"/>
      <c r="AC700" s="26"/>
      <c r="AD700" s="26"/>
    </row>
    <row r="701">
      <c r="H701" s="5"/>
      <c r="O701" s="5"/>
      <c r="V701" s="5"/>
      <c r="X701" s="29"/>
      <c r="Y701" s="26"/>
      <c r="Z701" s="26"/>
      <c r="AA701" s="26"/>
      <c r="AB701" s="26"/>
      <c r="AC701" s="26"/>
      <c r="AD701" s="26"/>
    </row>
    <row r="702">
      <c r="H702" s="5"/>
      <c r="O702" s="5"/>
      <c r="V702" s="5"/>
      <c r="X702" s="28"/>
      <c r="Y702" s="26"/>
      <c r="Z702" s="26"/>
      <c r="AA702" s="26"/>
      <c r="AB702" s="26"/>
      <c r="AC702" s="26"/>
      <c r="AD702" s="26"/>
    </row>
    <row r="703">
      <c r="H703" s="5"/>
      <c r="O703" s="5"/>
      <c r="V703" s="5"/>
      <c r="X703" s="29"/>
      <c r="Y703" s="26"/>
      <c r="Z703" s="26"/>
      <c r="AA703" s="26"/>
      <c r="AB703" s="26"/>
      <c r="AC703" s="26"/>
      <c r="AD703" s="26"/>
    </row>
    <row r="704">
      <c r="H704" s="5"/>
      <c r="O704" s="5"/>
      <c r="V704" s="5"/>
      <c r="X704" s="28"/>
      <c r="Y704" s="26"/>
      <c r="Z704" s="26"/>
      <c r="AA704" s="26"/>
      <c r="AB704" s="26"/>
      <c r="AC704" s="26"/>
      <c r="AD704" s="26"/>
    </row>
    <row r="705">
      <c r="H705" s="5"/>
      <c r="O705" s="5"/>
      <c r="V705" s="5"/>
      <c r="X705" s="29"/>
      <c r="Y705" s="26"/>
      <c r="Z705" s="26"/>
      <c r="AA705" s="26"/>
      <c r="AB705" s="26"/>
      <c r="AC705" s="26"/>
      <c r="AD705" s="26"/>
    </row>
    <row r="706">
      <c r="H706" s="5"/>
      <c r="O706" s="5"/>
      <c r="V706" s="5"/>
      <c r="X706" s="28"/>
      <c r="Y706" s="26"/>
      <c r="Z706" s="26"/>
      <c r="AA706" s="26"/>
      <c r="AB706" s="26"/>
      <c r="AC706" s="26"/>
      <c r="AD706" s="26"/>
    </row>
    <row r="707">
      <c r="H707" s="5"/>
      <c r="O707" s="5"/>
      <c r="V707" s="5"/>
      <c r="X707" s="29"/>
      <c r="Y707" s="26"/>
      <c r="Z707" s="26"/>
      <c r="AA707" s="26"/>
      <c r="AB707" s="26"/>
      <c r="AC707" s="26"/>
      <c r="AD707" s="26"/>
    </row>
    <row r="708">
      <c r="H708" s="5"/>
      <c r="O708" s="5"/>
      <c r="V708" s="5"/>
      <c r="X708" s="28"/>
      <c r="Y708" s="26"/>
      <c r="Z708" s="26"/>
      <c r="AA708" s="26"/>
      <c r="AB708" s="26"/>
      <c r="AC708" s="26"/>
      <c r="AD708" s="26"/>
    </row>
    <row r="709">
      <c r="H709" s="5"/>
      <c r="O709" s="5"/>
      <c r="V709" s="5"/>
      <c r="X709" s="29"/>
      <c r="Y709" s="26"/>
      <c r="Z709" s="26"/>
      <c r="AA709" s="26"/>
      <c r="AB709" s="26"/>
      <c r="AC709" s="26"/>
      <c r="AD709" s="26"/>
    </row>
    <row r="710">
      <c r="H710" s="5"/>
      <c r="O710" s="5"/>
      <c r="V710" s="5"/>
      <c r="X710" s="28"/>
      <c r="Y710" s="26"/>
      <c r="Z710" s="26"/>
      <c r="AA710" s="26"/>
      <c r="AB710" s="26"/>
      <c r="AC710" s="26"/>
      <c r="AD710" s="26"/>
    </row>
    <row r="711">
      <c r="H711" s="5"/>
      <c r="O711" s="5"/>
      <c r="V711" s="5"/>
      <c r="X711" s="29"/>
      <c r="Y711" s="26"/>
      <c r="Z711" s="26"/>
      <c r="AA711" s="26"/>
      <c r="AB711" s="26"/>
      <c r="AC711" s="26"/>
      <c r="AD711" s="26"/>
    </row>
    <row r="712">
      <c r="H712" s="5"/>
      <c r="O712" s="5"/>
      <c r="V712" s="5"/>
      <c r="X712" s="28"/>
      <c r="Y712" s="26"/>
      <c r="Z712" s="26"/>
      <c r="AA712" s="26"/>
      <c r="AB712" s="26"/>
      <c r="AC712" s="26"/>
      <c r="AD712" s="26"/>
    </row>
    <row r="713">
      <c r="H713" s="5"/>
      <c r="O713" s="5"/>
      <c r="V713" s="5"/>
      <c r="X713" s="29"/>
      <c r="Y713" s="26"/>
      <c r="Z713" s="26"/>
      <c r="AA713" s="26"/>
      <c r="AB713" s="26"/>
      <c r="AC713" s="26"/>
      <c r="AD713" s="26"/>
    </row>
    <row r="714">
      <c r="H714" s="5"/>
      <c r="O714" s="5"/>
      <c r="V714" s="5"/>
      <c r="X714" s="28"/>
      <c r="Y714" s="26"/>
      <c r="Z714" s="26"/>
      <c r="AA714" s="26"/>
      <c r="AB714" s="26"/>
      <c r="AC714" s="26"/>
      <c r="AD714" s="26"/>
    </row>
    <row r="715">
      <c r="H715" s="5"/>
      <c r="O715" s="5"/>
      <c r="V715" s="5"/>
      <c r="X715" s="29"/>
      <c r="Y715" s="26"/>
      <c r="Z715" s="26"/>
      <c r="AA715" s="26"/>
      <c r="AB715" s="26"/>
      <c r="AC715" s="26"/>
      <c r="AD715" s="26"/>
    </row>
    <row r="716">
      <c r="H716" s="5"/>
      <c r="O716" s="5"/>
      <c r="V716" s="5"/>
      <c r="X716" s="28"/>
      <c r="Y716" s="26"/>
      <c r="Z716" s="26"/>
      <c r="AA716" s="26"/>
      <c r="AB716" s="26"/>
      <c r="AC716" s="26"/>
      <c r="AD716" s="26"/>
    </row>
    <row r="717">
      <c r="H717" s="5"/>
      <c r="O717" s="5"/>
      <c r="V717" s="5"/>
      <c r="X717" s="29"/>
      <c r="Y717" s="26"/>
      <c r="Z717" s="26"/>
      <c r="AA717" s="26"/>
      <c r="AB717" s="26"/>
      <c r="AC717" s="26"/>
      <c r="AD717" s="26"/>
    </row>
    <row r="718">
      <c r="H718" s="5"/>
      <c r="O718" s="5"/>
      <c r="V718" s="5"/>
      <c r="X718" s="28"/>
      <c r="Y718" s="26"/>
      <c r="Z718" s="26"/>
      <c r="AA718" s="26"/>
      <c r="AB718" s="26"/>
      <c r="AC718" s="26"/>
      <c r="AD718" s="26"/>
    </row>
    <row r="719">
      <c r="H719" s="5"/>
      <c r="O719" s="5"/>
      <c r="V719" s="5"/>
      <c r="X719" s="29"/>
      <c r="Y719" s="26"/>
      <c r="Z719" s="26"/>
      <c r="AA719" s="26"/>
      <c r="AB719" s="26"/>
      <c r="AC719" s="26"/>
      <c r="AD719" s="26"/>
    </row>
    <row r="720">
      <c r="H720" s="5"/>
      <c r="O720" s="5"/>
      <c r="V720" s="5"/>
      <c r="X720" s="28"/>
      <c r="Y720" s="26"/>
      <c r="Z720" s="26"/>
      <c r="AA720" s="26"/>
      <c r="AB720" s="26"/>
      <c r="AC720" s="26"/>
      <c r="AD720" s="26"/>
    </row>
    <row r="721">
      <c r="H721" s="5"/>
      <c r="O721" s="5"/>
      <c r="V721" s="5"/>
      <c r="X721" s="29"/>
      <c r="Y721" s="26"/>
      <c r="Z721" s="26"/>
      <c r="AA721" s="26"/>
      <c r="AB721" s="26"/>
      <c r="AC721" s="26"/>
      <c r="AD721" s="26"/>
    </row>
    <row r="722">
      <c r="H722" s="5"/>
      <c r="O722" s="5"/>
      <c r="V722" s="5"/>
      <c r="X722" s="28"/>
      <c r="Y722" s="26"/>
      <c r="Z722" s="26"/>
      <c r="AA722" s="26"/>
      <c r="AB722" s="26"/>
      <c r="AC722" s="26"/>
      <c r="AD722" s="26"/>
    </row>
    <row r="723">
      <c r="H723" s="5"/>
      <c r="O723" s="5"/>
      <c r="V723" s="5"/>
      <c r="X723" s="29"/>
      <c r="Y723" s="26"/>
      <c r="Z723" s="26"/>
      <c r="AA723" s="26"/>
      <c r="AB723" s="26"/>
      <c r="AC723" s="26"/>
      <c r="AD723" s="26"/>
    </row>
    <row r="724">
      <c r="H724" s="5"/>
      <c r="O724" s="5"/>
      <c r="V724" s="5"/>
      <c r="X724" s="28"/>
      <c r="Y724" s="26"/>
      <c r="Z724" s="26"/>
      <c r="AA724" s="26"/>
      <c r="AB724" s="26"/>
      <c r="AC724" s="26"/>
      <c r="AD724" s="26"/>
    </row>
    <row r="725">
      <c r="H725" s="5"/>
      <c r="O725" s="5"/>
      <c r="V725" s="5"/>
      <c r="X725" s="29"/>
      <c r="Y725" s="26"/>
      <c r="Z725" s="26"/>
      <c r="AA725" s="26"/>
      <c r="AB725" s="26"/>
      <c r="AC725" s="26"/>
      <c r="AD725" s="26"/>
    </row>
    <row r="726">
      <c r="H726" s="5"/>
      <c r="O726" s="5"/>
      <c r="V726" s="5"/>
      <c r="X726" s="28"/>
      <c r="Y726" s="26"/>
      <c r="Z726" s="26"/>
      <c r="AA726" s="26"/>
      <c r="AB726" s="26"/>
      <c r="AC726" s="26"/>
      <c r="AD726" s="26"/>
    </row>
    <row r="727">
      <c r="H727" s="5"/>
      <c r="O727" s="5"/>
      <c r="V727" s="5"/>
      <c r="X727" s="29"/>
      <c r="Y727" s="26"/>
      <c r="Z727" s="26"/>
      <c r="AA727" s="26"/>
      <c r="AB727" s="26"/>
      <c r="AC727" s="26"/>
      <c r="AD727" s="26"/>
    </row>
    <row r="728">
      <c r="H728" s="5"/>
      <c r="O728" s="5"/>
      <c r="V728" s="5"/>
      <c r="X728" s="28"/>
      <c r="Y728" s="26"/>
      <c r="Z728" s="26"/>
      <c r="AA728" s="26"/>
      <c r="AB728" s="26"/>
      <c r="AC728" s="26"/>
      <c r="AD728" s="26"/>
    </row>
    <row r="729">
      <c r="H729" s="5"/>
      <c r="O729" s="5"/>
      <c r="V729" s="5"/>
      <c r="X729" s="29"/>
      <c r="Y729" s="26"/>
      <c r="Z729" s="26"/>
      <c r="AA729" s="26"/>
      <c r="AB729" s="26"/>
      <c r="AC729" s="26"/>
      <c r="AD729" s="26"/>
    </row>
    <row r="730">
      <c r="H730" s="5"/>
      <c r="O730" s="5"/>
      <c r="V730" s="5"/>
      <c r="X730" s="28"/>
      <c r="Y730" s="26"/>
      <c r="Z730" s="26"/>
      <c r="AA730" s="26"/>
      <c r="AB730" s="26"/>
      <c r="AC730" s="26"/>
      <c r="AD730" s="26"/>
    </row>
    <row r="731">
      <c r="H731" s="5"/>
      <c r="O731" s="5"/>
      <c r="V731" s="5"/>
      <c r="X731" s="29"/>
      <c r="Y731" s="26"/>
      <c r="Z731" s="26"/>
      <c r="AA731" s="26"/>
      <c r="AB731" s="26"/>
      <c r="AC731" s="26"/>
      <c r="AD731" s="26"/>
    </row>
    <row r="732">
      <c r="H732" s="5"/>
      <c r="O732" s="5"/>
      <c r="V732" s="5"/>
      <c r="X732" s="28"/>
      <c r="Y732" s="26"/>
      <c r="Z732" s="26"/>
      <c r="AA732" s="26"/>
      <c r="AB732" s="26"/>
      <c r="AC732" s="26"/>
      <c r="AD732" s="26"/>
    </row>
    <row r="733">
      <c r="H733" s="5"/>
      <c r="O733" s="5"/>
      <c r="V733" s="5"/>
      <c r="X733" s="29"/>
      <c r="Y733" s="26"/>
      <c r="Z733" s="26"/>
      <c r="AA733" s="26"/>
      <c r="AB733" s="26"/>
      <c r="AC733" s="26"/>
      <c r="AD733" s="26"/>
    </row>
    <row r="734">
      <c r="H734" s="5"/>
      <c r="O734" s="5"/>
      <c r="V734" s="5"/>
      <c r="X734" s="28"/>
      <c r="Y734" s="26"/>
      <c r="Z734" s="26"/>
      <c r="AA734" s="26"/>
      <c r="AB734" s="26"/>
      <c r="AC734" s="26"/>
      <c r="AD734" s="26"/>
    </row>
    <row r="735">
      <c r="H735" s="5"/>
      <c r="O735" s="5"/>
      <c r="V735" s="5"/>
      <c r="X735" s="29"/>
      <c r="Y735" s="26"/>
      <c r="Z735" s="26"/>
      <c r="AA735" s="26"/>
      <c r="AB735" s="26"/>
      <c r="AC735" s="26"/>
      <c r="AD735" s="26"/>
    </row>
    <row r="736">
      <c r="H736" s="5"/>
      <c r="O736" s="5"/>
      <c r="V736" s="5"/>
      <c r="X736" s="28"/>
      <c r="Y736" s="26"/>
      <c r="Z736" s="26"/>
      <c r="AA736" s="26"/>
      <c r="AB736" s="26"/>
      <c r="AC736" s="26"/>
      <c r="AD736" s="26"/>
    </row>
    <row r="737">
      <c r="H737" s="5"/>
      <c r="O737" s="5"/>
      <c r="V737" s="5"/>
      <c r="X737" s="29"/>
      <c r="Y737" s="26"/>
      <c r="Z737" s="26"/>
      <c r="AA737" s="26"/>
      <c r="AB737" s="26"/>
      <c r="AC737" s="26"/>
      <c r="AD737" s="26"/>
    </row>
    <row r="738">
      <c r="H738" s="5"/>
      <c r="O738" s="5"/>
      <c r="V738" s="5"/>
      <c r="X738" s="28"/>
      <c r="Y738" s="26"/>
      <c r="Z738" s="26"/>
      <c r="AA738" s="26"/>
      <c r="AB738" s="26"/>
      <c r="AC738" s="26"/>
      <c r="AD738" s="26"/>
    </row>
    <row r="739">
      <c r="H739" s="5"/>
      <c r="O739" s="5"/>
      <c r="V739" s="5"/>
      <c r="X739" s="29"/>
      <c r="Y739" s="26"/>
      <c r="Z739" s="26"/>
      <c r="AA739" s="26"/>
      <c r="AB739" s="26"/>
      <c r="AC739" s="26"/>
      <c r="AD739" s="26"/>
    </row>
    <row r="740">
      <c r="H740" s="5"/>
      <c r="O740" s="5"/>
      <c r="V740" s="5"/>
      <c r="X740" s="28"/>
      <c r="Y740" s="26"/>
      <c r="Z740" s="26"/>
      <c r="AA740" s="26"/>
      <c r="AB740" s="26"/>
      <c r="AC740" s="26"/>
      <c r="AD740" s="26"/>
    </row>
    <row r="741">
      <c r="H741" s="5"/>
      <c r="O741" s="5"/>
      <c r="V741" s="5"/>
      <c r="X741" s="29"/>
      <c r="Y741" s="26"/>
      <c r="Z741" s="26"/>
      <c r="AA741" s="26"/>
      <c r="AB741" s="26"/>
      <c r="AC741" s="26"/>
      <c r="AD741" s="26"/>
    </row>
    <row r="742">
      <c r="H742" s="5"/>
      <c r="O742" s="5"/>
      <c r="V742" s="5"/>
      <c r="X742" s="28"/>
      <c r="Y742" s="26"/>
      <c r="Z742" s="26"/>
      <c r="AA742" s="26"/>
      <c r="AB742" s="26"/>
      <c r="AC742" s="26"/>
      <c r="AD742" s="26"/>
    </row>
    <row r="743">
      <c r="H743" s="5"/>
      <c r="O743" s="5"/>
      <c r="V743" s="5"/>
      <c r="X743" s="29"/>
      <c r="Y743" s="26"/>
      <c r="Z743" s="26"/>
      <c r="AA743" s="26"/>
      <c r="AB743" s="26"/>
      <c r="AC743" s="26"/>
      <c r="AD743" s="26"/>
    </row>
    <row r="744">
      <c r="H744" s="5"/>
      <c r="O744" s="5"/>
      <c r="V744" s="5"/>
      <c r="X744" s="28"/>
      <c r="Y744" s="26"/>
      <c r="Z744" s="26"/>
      <c r="AA744" s="26"/>
      <c r="AB744" s="26"/>
      <c r="AC744" s="26"/>
      <c r="AD744" s="26"/>
    </row>
    <row r="745">
      <c r="H745" s="5"/>
      <c r="O745" s="5"/>
      <c r="V745" s="5"/>
      <c r="X745" s="29"/>
      <c r="Y745" s="26"/>
      <c r="Z745" s="26"/>
      <c r="AA745" s="26"/>
      <c r="AB745" s="26"/>
      <c r="AC745" s="26"/>
      <c r="AD745" s="26"/>
    </row>
    <row r="746">
      <c r="H746" s="5"/>
      <c r="O746" s="5"/>
      <c r="V746" s="5"/>
      <c r="X746" s="28"/>
      <c r="Y746" s="26"/>
      <c r="Z746" s="26"/>
      <c r="AA746" s="26"/>
      <c r="AB746" s="26"/>
      <c r="AC746" s="26"/>
      <c r="AD746" s="26"/>
    </row>
    <row r="747">
      <c r="H747" s="5"/>
      <c r="O747" s="5"/>
      <c r="V747" s="5"/>
      <c r="X747" s="29"/>
      <c r="Y747" s="26"/>
      <c r="Z747" s="26"/>
      <c r="AA747" s="26"/>
      <c r="AB747" s="26"/>
      <c r="AC747" s="26"/>
      <c r="AD747" s="26"/>
    </row>
    <row r="748">
      <c r="H748" s="5"/>
      <c r="O748" s="5"/>
      <c r="V748" s="5"/>
      <c r="X748" s="28"/>
      <c r="Y748" s="26"/>
      <c r="Z748" s="26"/>
      <c r="AA748" s="26"/>
      <c r="AB748" s="26"/>
      <c r="AC748" s="26"/>
      <c r="AD748" s="26"/>
    </row>
    <row r="749">
      <c r="H749" s="5"/>
      <c r="O749" s="5"/>
      <c r="V749" s="5"/>
      <c r="X749" s="29"/>
      <c r="Y749" s="26"/>
      <c r="Z749" s="26"/>
      <c r="AA749" s="26"/>
      <c r="AB749" s="26"/>
      <c r="AC749" s="26"/>
      <c r="AD749" s="26"/>
    </row>
    <row r="750">
      <c r="H750" s="5"/>
      <c r="O750" s="5"/>
      <c r="V750" s="5"/>
      <c r="X750" s="28"/>
      <c r="Y750" s="26"/>
      <c r="Z750" s="26"/>
      <c r="AA750" s="26"/>
      <c r="AB750" s="26"/>
      <c r="AC750" s="26"/>
      <c r="AD750" s="26"/>
    </row>
    <row r="751">
      <c r="H751" s="5"/>
      <c r="O751" s="5"/>
      <c r="V751" s="5"/>
      <c r="X751" s="29"/>
      <c r="Y751" s="26"/>
      <c r="Z751" s="26"/>
      <c r="AA751" s="26"/>
      <c r="AB751" s="26"/>
      <c r="AC751" s="26"/>
      <c r="AD751" s="26"/>
    </row>
    <row r="752">
      <c r="H752" s="5"/>
      <c r="O752" s="5"/>
      <c r="V752" s="5"/>
      <c r="X752" s="28"/>
      <c r="Y752" s="26"/>
      <c r="Z752" s="26"/>
      <c r="AA752" s="26"/>
      <c r="AB752" s="26"/>
      <c r="AC752" s="26"/>
      <c r="AD752" s="26"/>
    </row>
    <row r="753">
      <c r="H753" s="5"/>
      <c r="O753" s="5"/>
      <c r="V753" s="5"/>
      <c r="X753" s="29"/>
      <c r="Y753" s="26"/>
      <c r="Z753" s="26"/>
      <c r="AA753" s="26"/>
      <c r="AB753" s="26"/>
      <c r="AC753" s="26"/>
      <c r="AD753" s="26"/>
    </row>
    <row r="754">
      <c r="H754" s="5"/>
      <c r="O754" s="5"/>
      <c r="V754" s="5"/>
      <c r="X754" s="28"/>
      <c r="Y754" s="26"/>
      <c r="Z754" s="26"/>
      <c r="AA754" s="26"/>
      <c r="AB754" s="26"/>
      <c r="AC754" s="26"/>
      <c r="AD754" s="26"/>
    </row>
    <row r="755">
      <c r="H755" s="5"/>
      <c r="O755" s="5"/>
      <c r="V755" s="5"/>
      <c r="X755" s="29"/>
      <c r="Y755" s="26"/>
      <c r="Z755" s="26"/>
      <c r="AA755" s="26"/>
      <c r="AB755" s="26"/>
      <c r="AC755" s="26"/>
      <c r="AD755" s="26"/>
    </row>
    <row r="756">
      <c r="H756" s="5"/>
      <c r="O756" s="5"/>
      <c r="V756" s="5"/>
      <c r="X756" s="28"/>
      <c r="Y756" s="26"/>
      <c r="Z756" s="26"/>
      <c r="AA756" s="26"/>
      <c r="AB756" s="26"/>
      <c r="AC756" s="26"/>
      <c r="AD756" s="26"/>
    </row>
    <row r="757">
      <c r="H757" s="5"/>
      <c r="O757" s="5"/>
      <c r="V757" s="5"/>
      <c r="X757" s="29"/>
      <c r="Y757" s="26"/>
      <c r="Z757" s="26"/>
      <c r="AA757" s="26"/>
      <c r="AB757" s="26"/>
      <c r="AC757" s="26"/>
      <c r="AD757" s="26"/>
    </row>
    <row r="758">
      <c r="H758" s="5"/>
      <c r="O758" s="5"/>
      <c r="V758" s="5"/>
      <c r="X758" s="28"/>
      <c r="Y758" s="26"/>
      <c r="Z758" s="26"/>
      <c r="AA758" s="26"/>
      <c r="AB758" s="26"/>
      <c r="AC758" s="26"/>
      <c r="AD758" s="26"/>
    </row>
    <row r="759">
      <c r="H759" s="5"/>
      <c r="O759" s="5"/>
      <c r="V759" s="5"/>
      <c r="X759" s="29"/>
      <c r="Y759" s="26"/>
      <c r="Z759" s="26"/>
      <c r="AA759" s="26"/>
      <c r="AB759" s="26"/>
      <c r="AC759" s="26"/>
      <c r="AD759" s="26"/>
    </row>
    <row r="760">
      <c r="H760" s="5"/>
      <c r="O760" s="5"/>
      <c r="V760" s="5"/>
      <c r="X760" s="28"/>
      <c r="Y760" s="26"/>
      <c r="Z760" s="26"/>
      <c r="AA760" s="26"/>
      <c r="AB760" s="26"/>
      <c r="AC760" s="26"/>
      <c r="AD760" s="26"/>
    </row>
    <row r="761">
      <c r="H761" s="5"/>
      <c r="O761" s="5"/>
      <c r="V761" s="5"/>
      <c r="X761" s="29"/>
      <c r="Y761" s="26"/>
      <c r="Z761" s="26"/>
      <c r="AA761" s="26"/>
      <c r="AB761" s="26"/>
      <c r="AC761" s="26"/>
      <c r="AD761" s="26"/>
    </row>
    <row r="762">
      <c r="H762" s="5"/>
      <c r="O762" s="5"/>
      <c r="V762" s="5"/>
      <c r="X762" s="28"/>
      <c r="Y762" s="26"/>
      <c r="Z762" s="26"/>
      <c r="AA762" s="26"/>
      <c r="AB762" s="26"/>
      <c r="AC762" s="26"/>
      <c r="AD762" s="26"/>
    </row>
    <row r="763">
      <c r="H763" s="5"/>
      <c r="O763" s="5"/>
      <c r="V763" s="5"/>
      <c r="X763" s="29"/>
      <c r="Y763" s="26"/>
      <c r="Z763" s="26"/>
      <c r="AA763" s="26"/>
      <c r="AB763" s="26"/>
      <c r="AC763" s="26"/>
      <c r="AD763" s="26"/>
    </row>
    <row r="764">
      <c r="H764" s="5"/>
      <c r="O764" s="5"/>
      <c r="V764" s="5"/>
      <c r="X764" s="28"/>
      <c r="Y764" s="26"/>
      <c r="Z764" s="26"/>
      <c r="AA764" s="26"/>
      <c r="AB764" s="26"/>
      <c r="AC764" s="26"/>
      <c r="AD764" s="26"/>
    </row>
    <row r="765">
      <c r="H765" s="5"/>
      <c r="O765" s="5"/>
      <c r="V765" s="5"/>
      <c r="X765" s="29"/>
      <c r="Y765" s="26"/>
      <c r="Z765" s="26"/>
      <c r="AA765" s="26"/>
      <c r="AB765" s="26"/>
      <c r="AC765" s="26"/>
      <c r="AD765" s="26"/>
    </row>
    <row r="766">
      <c r="H766" s="5"/>
      <c r="O766" s="5"/>
      <c r="V766" s="5"/>
      <c r="X766" s="28"/>
      <c r="Y766" s="26"/>
      <c r="Z766" s="26"/>
      <c r="AA766" s="26"/>
      <c r="AB766" s="26"/>
      <c r="AC766" s="26"/>
      <c r="AD766" s="26"/>
    </row>
    <row r="767">
      <c r="H767" s="5"/>
      <c r="O767" s="5"/>
      <c r="V767" s="5"/>
      <c r="X767" s="29"/>
      <c r="Y767" s="26"/>
      <c r="Z767" s="26"/>
      <c r="AA767" s="26"/>
      <c r="AB767" s="26"/>
      <c r="AC767" s="26"/>
      <c r="AD767" s="26"/>
    </row>
    <row r="768">
      <c r="H768" s="5"/>
      <c r="O768" s="5"/>
      <c r="V768" s="5"/>
      <c r="X768" s="28"/>
      <c r="Y768" s="26"/>
      <c r="Z768" s="26"/>
      <c r="AA768" s="26"/>
      <c r="AB768" s="26"/>
      <c r="AC768" s="26"/>
      <c r="AD768" s="26"/>
    </row>
    <row r="769">
      <c r="H769" s="5"/>
      <c r="O769" s="5"/>
      <c r="V769" s="5"/>
      <c r="X769" s="29"/>
      <c r="Y769" s="26"/>
      <c r="Z769" s="26"/>
      <c r="AA769" s="26"/>
      <c r="AB769" s="26"/>
      <c r="AC769" s="26"/>
      <c r="AD769" s="26"/>
    </row>
    <row r="770">
      <c r="H770" s="5"/>
      <c r="O770" s="5"/>
      <c r="V770" s="5"/>
      <c r="X770" s="28"/>
      <c r="Y770" s="26"/>
      <c r="Z770" s="26"/>
      <c r="AA770" s="26"/>
      <c r="AB770" s="26"/>
      <c r="AC770" s="26"/>
      <c r="AD770" s="26"/>
    </row>
    <row r="771">
      <c r="H771" s="5"/>
      <c r="O771" s="5"/>
      <c r="V771" s="5"/>
      <c r="X771" s="29"/>
      <c r="Y771" s="26"/>
      <c r="Z771" s="26"/>
      <c r="AA771" s="26"/>
      <c r="AB771" s="26"/>
      <c r="AC771" s="26"/>
      <c r="AD771" s="26"/>
    </row>
    <row r="772">
      <c r="H772" s="5"/>
      <c r="O772" s="5"/>
      <c r="V772" s="5"/>
      <c r="X772" s="28"/>
      <c r="Y772" s="26"/>
      <c r="Z772" s="26"/>
      <c r="AA772" s="26"/>
      <c r="AB772" s="26"/>
      <c r="AC772" s="26"/>
      <c r="AD772" s="26"/>
    </row>
    <row r="773">
      <c r="H773" s="5"/>
      <c r="O773" s="5"/>
      <c r="V773" s="5"/>
      <c r="X773" s="29"/>
      <c r="Y773" s="26"/>
      <c r="Z773" s="26"/>
      <c r="AA773" s="26"/>
      <c r="AB773" s="26"/>
      <c r="AC773" s="26"/>
      <c r="AD773" s="26"/>
    </row>
    <row r="774">
      <c r="H774" s="5"/>
      <c r="O774" s="5"/>
      <c r="V774" s="5"/>
      <c r="X774" s="28"/>
      <c r="Y774" s="26"/>
      <c r="Z774" s="26"/>
      <c r="AA774" s="26"/>
      <c r="AB774" s="26"/>
      <c r="AC774" s="26"/>
      <c r="AD774" s="26"/>
    </row>
    <row r="775">
      <c r="H775" s="5"/>
      <c r="O775" s="5"/>
      <c r="V775" s="5"/>
      <c r="X775" s="29"/>
      <c r="Y775" s="26"/>
      <c r="Z775" s="26"/>
      <c r="AA775" s="26"/>
      <c r="AB775" s="26"/>
      <c r="AC775" s="26"/>
      <c r="AD775" s="26"/>
    </row>
    <row r="776">
      <c r="H776" s="5"/>
      <c r="O776" s="5"/>
      <c r="V776" s="5"/>
      <c r="X776" s="28"/>
      <c r="Y776" s="26"/>
      <c r="Z776" s="26"/>
      <c r="AA776" s="26"/>
      <c r="AB776" s="26"/>
      <c r="AC776" s="26"/>
      <c r="AD776" s="26"/>
    </row>
    <row r="777">
      <c r="H777" s="5"/>
      <c r="O777" s="5"/>
      <c r="V777" s="5"/>
      <c r="X777" s="29"/>
      <c r="Y777" s="26"/>
      <c r="Z777" s="26"/>
      <c r="AA777" s="26"/>
      <c r="AB777" s="26"/>
      <c r="AC777" s="26"/>
      <c r="AD777" s="26"/>
    </row>
    <row r="778">
      <c r="H778" s="5"/>
      <c r="O778" s="5"/>
      <c r="V778" s="5"/>
      <c r="X778" s="28"/>
      <c r="Y778" s="26"/>
      <c r="Z778" s="26"/>
      <c r="AA778" s="26"/>
      <c r="AB778" s="26"/>
      <c r="AC778" s="26"/>
      <c r="AD778" s="26"/>
    </row>
    <row r="779">
      <c r="H779" s="5"/>
      <c r="O779" s="5"/>
      <c r="V779" s="5"/>
      <c r="X779" s="29"/>
      <c r="Y779" s="26"/>
      <c r="Z779" s="26"/>
      <c r="AA779" s="26"/>
      <c r="AB779" s="26"/>
      <c r="AC779" s="26"/>
      <c r="AD779" s="26"/>
    </row>
    <row r="780">
      <c r="H780" s="5"/>
      <c r="O780" s="5"/>
      <c r="V780" s="5"/>
      <c r="X780" s="28"/>
      <c r="Y780" s="26"/>
      <c r="Z780" s="26"/>
      <c r="AA780" s="26"/>
      <c r="AB780" s="26"/>
      <c r="AC780" s="26"/>
      <c r="AD780" s="26"/>
    </row>
    <row r="781">
      <c r="H781" s="5"/>
      <c r="O781" s="5"/>
      <c r="V781" s="5"/>
      <c r="X781" s="29"/>
      <c r="Y781" s="26"/>
      <c r="Z781" s="26"/>
      <c r="AA781" s="26"/>
      <c r="AB781" s="26"/>
      <c r="AC781" s="26"/>
      <c r="AD781" s="26"/>
    </row>
    <row r="782">
      <c r="H782" s="5"/>
      <c r="O782" s="5"/>
      <c r="V782" s="5"/>
      <c r="X782" s="28"/>
      <c r="Y782" s="26"/>
      <c r="Z782" s="26"/>
      <c r="AA782" s="26"/>
      <c r="AB782" s="26"/>
      <c r="AC782" s="26"/>
      <c r="AD782" s="26"/>
    </row>
    <row r="783">
      <c r="H783" s="5"/>
      <c r="O783" s="5"/>
      <c r="V783" s="5"/>
      <c r="X783" s="29"/>
      <c r="Y783" s="26"/>
      <c r="Z783" s="26"/>
      <c r="AA783" s="26"/>
      <c r="AB783" s="26"/>
      <c r="AC783" s="26"/>
      <c r="AD783" s="26"/>
    </row>
    <row r="784">
      <c r="H784" s="5"/>
      <c r="O784" s="5"/>
      <c r="V784" s="5"/>
      <c r="X784" s="28"/>
      <c r="Y784" s="26"/>
      <c r="Z784" s="26"/>
      <c r="AA784" s="26"/>
      <c r="AB784" s="26"/>
      <c r="AC784" s="26"/>
      <c r="AD784" s="26"/>
    </row>
    <row r="785">
      <c r="H785" s="5"/>
      <c r="O785" s="5"/>
      <c r="V785" s="5"/>
      <c r="X785" s="29"/>
      <c r="Y785" s="26"/>
      <c r="Z785" s="26"/>
      <c r="AA785" s="26"/>
      <c r="AB785" s="26"/>
      <c r="AC785" s="26"/>
      <c r="AD785" s="26"/>
    </row>
    <row r="786">
      <c r="H786" s="5"/>
      <c r="O786" s="5"/>
      <c r="V786" s="5"/>
      <c r="X786" s="28"/>
      <c r="Y786" s="26"/>
      <c r="Z786" s="26"/>
      <c r="AA786" s="26"/>
      <c r="AB786" s="26"/>
      <c r="AC786" s="26"/>
      <c r="AD786" s="26"/>
    </row>
    <row r="787">
      <c r="H787" s="5"/>
      <c r="O787" s="5"/>
      <c r="V787" s="5"/>
      <c r="X787" s="29"/>
      <c r="Y787" s="26"/>
      <c r="Z787" s="26"/>
      <c r="AA787" s="26"/>
      <c r="AB787" s="26"/>
      <c r="AC787" s="26"/>
      <c r="AD787" s="26"/>
    </row>
    <row r="788">
      <c r="H788" s="5"/>
      <c r="O788" s="5"/>
      <c r="V788" s="5"/>
      <c r="X788" s="28"/>
      <c r="Y788" s="26"/>
      <c r="Z788" s="26"/>
      <c r="AA788" s="26"/>
      <c r="AB788" s="26"/>
      <c r="AC788" s="26"/>
      <c r="AD788" s="26"/>
    </row>
    <row r="789">
      <c r="H789" s="5"/>
      <c r="O789" s="5"/>
      <c r="V789" s="5"/>
      <c r="X789" s="29"/>
      <c r="Y789" s="26"/>
      <c r="Z789" s="26"/>
      <c r="AA789" s="26"/>
      <c r="AB789" s="26"/>
      <c r="AC789" s="26"/>
      <c r="AD789" s="26"/>
    </row>
    <row r="790">
      <c r="H790" s="5"/>
      <c r="O790" s="5"/>
      <c r="V790" s="5"/>
      <c r="X790" s="28"/>
      <c r="Y790" s="26"/>
      <c r="Z790" s="26"/>
      <c r="AA790" s="26"/>
      <c r="AB790" s="26"/>
      <c r="AC790" s="26"/>
      <c r="AD790" s="26"/>
    </row>
    <row r="791">
      <c r="H791" s="5"/>
      <c r="O791" s="5"/>
      <c r="V791" s="5"/>
      <c r="X791" s="29"/>
      <c r="Y791" s="26"/>
      <c r="Z791" s="26"/>
      <c r="AA791" s="26"/>
      <c r="AB791" s="26"/>
      <c r="AC791" s="26"/>
      <c r="AD791" s="26"/>
    </row>
    <row r="792">
      <c r="H792" s="5"/>
      <c r="O792" s="5"/>
      <c r="V792" s="5"/>
      <c r="X792" s="28"/>
      <c r="Y792" s="26"/>
      <c r="Z792" s="26"/>
      <c r="AA792" s="26"/>
      <c r="AB792" s="26"/>
      <c r="AC792" s="26"/>
      <c r="AD792" s="26"/>
    </row>
    <row r="793">
      <c r="H793" s="5"/>
      <c r="O793" s="5"/>
      <c r="V793" s="5"/>
      <c r="X793" s="29"/>
      <c r="Y793" s="26"/>
      <c r="Z793" s="26"/>
      <c r="AA793" s="26"/>
      <c r="AB793" s="26"/>
      <c r="AC793" s="26"/>
      <c r="AD793" s="26"/>
    </row>
    <row r="794">
      <c r="H794" s="5"/>
      <c r="O794" s="5"/>
      <c r="V794" s="5"/>
      <c r="X794" s="28"/>
      <c r="Y794" s="26"/>
      <c r="Z794" s="26"/>
      <c r="AA794" s="26"/>
      <c r="AB794" s="26"/>
      <c r="AC794" s="26"/>
      <c r="AD794" s="26"/>
    </row>
    <row r="795">
      <c r="H795" s="5"/>
      <c r="O795" s="5"/>
      <c r="V795" s="5"/>
      <c r="X795" s="29"/>
      <c r="Y795" s="26"/>
      <c r="Z795" s="26"/>
      <c r="AA795" s="26"/>
      <c r="AB795" s="26"/>
      <c r="AC795" s="26"/>
      <c r="AD795" s="26"/>
    </row>
    <row r="796">
      <c r="H796" s="5"/>
      <c r="O796" s="5"/>
      <c r="V796" s="5"/>
      <c r="X796" s="28"/>
      <c r="Y796" s="26"/>
      <c r="Z796" s="26"/>
      <c r="AA796" s="26"/>
      <c r="AB796" s="26"/>
      <c r="AC796" s="26"/>
      <c r="AD796" s="26"/>
    </row>
    <row r="797">
      <c r="H797" s="5"/>
      <c r="O797" s="5"/>
      <c r="V797" s="5"/>
      <c r="X797" s="29"/>
      <c r="Y797" s="26"/>
      <c r="Z797" s="26"/>
      <c r="AA797" s="26"/>
      <c r="AB797" s="26"/>
      <c r="AC797" s="26"/>
      <c r="AD797" s="26"/>
    </row>
    <row r="798">
      <c r="H798" s="5"/>
      <c r="O798" s="5"/>
      <c r="V798" s="5"/>
      <c r="X798" s="28"/>
      <c r="Y798" s="26"/>
      <c r="Z798" s="26"/>
      <c r="AA798" s="26"/>
      <c r="AB798" s="26"/>
      <c r="AC798" s="26"/>
      <c r="AD798" s="26"/>
    </row>
    <row r="799">
      <c r="H799" s="5"/>
      <c r="O799" s="5"/>
      <c r="V799" s="5"/>
      <c r="X799" s="29"/>
      <c r="Y799" s="26"/>
      <c r="Z799" s="26"/>
      <c r="AA799" s="26"/>
      <c r="AB799" s="26"/>
      <c r="AC799" s="26"/>
      <c r="AD799" s="26"/>
    </row>
    <row r="800">
      <c r="H800" s="5"/>
      <c r="O800" s="5"/>
      <c r="V800" s="5"/>
      <c r="X800" s="28"/>
      <c r="Y800" s="26"/>
      <c r="Z800" s="26"/>
      <c r="AA800" s="26"/>
      <c r="AB800" s="26"/>
      <c r="AC800" s="26"/>
      <c r="AD800" s="26"/>
    </row>
    <row r="801">
      <c r="H801" s="5"/>
      <c r="O801" s="5"/>
      <c r="V801" s="5"/>
      <c r="X801" s="29"/>
      <c r="Y801" s="26"/>
      <c r="Z801" s="26"/>
      <c r="AA801" s="26"/>
      <c r="AB801" s="26"/>
      <c r="AC801" s="26"/>
      <c r="AD801" s="26"/>
    </row>
    <row r="802">
      <c r="H802" s="5"/>
      <c r="O802" s="5"/>
      <c r="V802" s="5"/>
      <c r="X802" s="28"/>
      <c r="Y802" s="26"/>
      <c r="Z802" s="26"/>
      <c r="AA802" s="26"/>
      <c r="AB802" s="26"/>
      <c r="AC802" s="26"/>
      <c r="AD802" s="26"/>
    </row>
    <row r="803">
      <c r="H803" s="5"/>
      <c r="O803" s="5"/>
      <c r="V803" s="5"/>
      <c r="X803" s="29"/>
      <c r="Y803" s="26"/>
      <c r="Z803" s="26"/>
      <c r="AA803" s="26"/>
      <c r="AB803" s="26"/>
      <c r="AC803" s="26"/>
      <c r="AD803" s="26"/>
    </row>
    <row r="804">
      <c r="H804" s="5"/>
      <c r="O804" s="5"/>
      <c r="V804" s="5"/>
      <c r="X804" s="28"/>
      <c r="Y804" s="26"/>
      <c r="Z804" s="26"/>
      <c r="AA804" s="26"/>
      <c r="AB804" s="26"/>
      <c r="AC804" s="26"/>
      <c r="AD804" s="26"/>
    </row>
    <row r="805">
      <c r="H805" s="5"/>
      <c r="O805" s="5"/>
      <c r="V805" s="5"/>
      <c r="X805" s="29"/>
      <c r="Y805" s="26"/>
      <c r="Z805" s="26"/>
      <c r="AA805" s="26"/>
      <c r="AB805" s="26"/>
      <c r="AC805" s="26"/>
      <c r="AD805" s="26"/>
    </row>
    <row r="806">
      <c r="H806" s="5"/>
      <c r="O806" s="5"/>
      <c r="V806" s="5"/>
      <c r="X806" s="28"/>
      <c r="Y806" s="26"/>
      <c r="Z806" s="26"/>
      <c r="AA806" s="26"/>
      <c r="AB806" s="26"/>
      <c r="AC806" s="26"/>
      <c r="AD806" s="26"/>
    </row>
    <row r="807">
      <c r="H807" s="5"/>
      <c r="O807" s="5"/>
      <c r="V807" s="5"/>
      <c r="X807" s="29"/>
      <c r="Y807" s="26"/>
      <c r="Z807" s="26"/>
      <c r="AA807" s="26"/>
      <c r="AB807" s="26"/>
      <c r="AC807" s="26"/>
      <c r="AD807" s="26"/>
    </row>
    <row r="808">
      <c r="H808" s="5"/>
      <c r="O808" s="5"/>
      <c r="V808" s="5"/>
      <c r="X808" s="28"/>
      <c r="Y808" s="26"/>
      <c r="Z808" s="26"/>
      <c r="AA808" s="26"/>
      <c r="AB808" s="26"/>
      <c r="AC808" s="26"/>
      <c r="AD808" s="26"/>
    </row>
    <row r="809">
      <c r="H809" s="5"/>
      <c r="O809" s="5"/>
      <c r="V809" s="5"/>
      <c r="X809" s="29"/>
      <c r="Y809" s="26"/>
      <c r="Z809" s="26"/>
      <c r="AA809" s="26"/>
      <c r="AB809" s="26"/>
      <c r="AC809" s="26"/>
      <c r="AD809" s="26"/>
    </row>
    <row r="810">
      <c r="H810" s="5"/>
      <c r="O810" s="5"/>
      <c r="V810" s="5"/>
      <c r="X810" s="28"/>
      <c r="Y810" s="26"/>
      <c r="Z810" s="26"/>
      <c r="AA810" s="26"/>
      <c r="AB810" s="26"/>
      <c r="AC810" s="26"/>
      <c r="AD810" s="26"/>
    </row>
    <row r="811">
      <c r="H811" s="5"/>
      <c r="O811" s="5"/>
      <c r="V811" s="5"/>
      <c r="X811" s="29"/>
      <c r="Y811" s="26"/>
      <c r="Z811" s="26"/>
      <c r="AA811" s="26"/>
      <c r="AB811" s="26"/>
      <c r="AC811" s="26"/>
      <c r="AD811" s="26"/>
    </row>
    <row r="812">
      <c r="H812" s="5"/>
      <c r="O812" s="5"/>
      <c r="V812" s="5"/>
      <c r="X812" s="28"/>
      <c r="Y812" s="26"/>
      <c r="Z812" s="26"/>
      <c r="AA812" s="26"/>
      <c r="AB812" s="26"/>
      <c r="AC812" s="26"/>
      <c r="AD812" s="26"/>
    </row>
    <row r="813">
      <c r="H813" s="5"/>
      <c r="O813" s="5"/>
      <c r="V813" s="5"/>
      <c r="X813" s="29"/>
      <c r="Y813" s="26"/>
      <c r="Z813" s="26"/>
      <c r="AA813" s="26"/>
      <c r="AB813" s="26"/>
      <c r="AC813" s="26"/>
      <c r="AD813" s="26"/>
    </row>
    <row r="814">
      <c r="H814" s="5"/>
      <c r="O814" s="5"/>
      <c r="V814" s="5"/>
      <c r="X814" s="28"/>
      <c r="Y814" s="26"/>
      <c r="Z814" s="26"/>
      <c r="AA814" s="26"/>
      <c r="AB814" s="26"/>
      <c r="AC814" s="26"/>
      <c r="AD814" s="26"/>
    </row>
    <row r="815">
      <c r="H815" s="5"/>
      <c r="O815" s="5"/>
      <c r="V815" s="5"/>
      <c r="X815" s="29"/>
      <c r="Y815" s="26"/>
      <c r="Z815" s="26"/>
      <c r="AA815" s="26"/>
      <c r="AB815" s="26"/>
      <c r="AC815" s="26"/>
      <c r="AD815" s="26"/>
    </row>
    <row r="816">
      <c r="H816" s="5"/>
      <c r="O816" s="5"/>
      <c r="V816" s="5"/>
      <c r="X816" s="28"/>
      <c r="Y816" s="26"/>
      <c r="Z816" s="26"/>
      <c r="AA816" s="26"/>
      <c r="AB816" s="26"/>
      <c r="AC816" s="26"/>
      <c r="AD816" s="26"/>
    </row>
    <row r="817">
      <c r="H817" s="5"/>
      <c r="O817" s="5"/>
      <c r="V817" s="5"/>
      <c r="X817" s="29"/>
      <c r="Y817" s="26"/>
      <c r="Z817" s="26"/>
      <c r="AA817" s="26"/>
      <c r="AB817" s="26"/>
      <c r="AC817" s="26"/>
      <c r="AD817" s="26"/>
    </row>
    <row r="818">
      <c r="H818" s="5"/>
      <c r="O818" s="5"/>
      <c r="V818" s="5"/>
      <c r="X818" s="28"/>
      <c r="Y818" s="26"/>
      <c r="Z818" s="26"/>
      <c r="AA818" s="26"/>
      <c r="AB818" s="26"/>
      <c r="AC818" s="26"/>
      <c r="AD818" s="26"/>
    </row>
    <row r="819">
      <c r="H819" s="5"/>
      <c r="O819" s="5"/>
      <c r="V819" s="5"/>
      <c r="X819" s="29"/>
      <c r="Y819" s="26"/>
      <c r="Z819" s="26"/>
      <c r="AA819" s="26"/>
      <c r="AB819" s="26"/>
      <c r="AC819" s="26"/>
      <c r="AD819" s="26"/>
    </row>
    <row r="820">
      <c r="H820" s="5"/>
      <c r="O820" s="5"/>
      <c r="V820" s="5"/>
      <c r="X820" s="28"/>
      <c r="Y820" s="26"/>
      <c r="Z820" s="26"/>
      <c r="AA820" s="26"/>
      <c r="AB820" s="26"/>
      <c r="AC820" s="26"/>
      <c r="AD820" s="26"/>
    </row>
    <row r="821">
      <c r="H821" s="5"/>
      <c r="O821" s="5"/>
      <c r="V821" s="5"/>
      <c r="X821" s="29"/>
      <c r="Y821" s="26"/>
      <c r="Z821" s="26"/>
      <c r="AA821" s="26"/>
      <c r="AB821" s="26"/>
      <c r="AC821" s="26"/>
      <c r="AD821" s="26"/>
    </row>
    <row r="822">
      <c r="H822" s="5"/>
      <c r="O822" s="5"/>
      <c r="V822" s="5"/>
      <c r="X822" s="28"/>
      <c r="Y822" s="26"/>
      <c r="Z822" s="26"/>
      <c r="AA822" s="26"/>
      <c r="AB822" s="26"/>
      <c r="AC822" s="26"/>
      <c r="AD822" s="26"/>
    </row>
    <row r="823">
      <c r="H823" s="5"/>
      <c r="O823" s="5"/>
      <c r="V823" s="5"/>
      <c r="X823" s="29"/>
      <c r="Y823" s="26"/>
      <c r="Z823" s="26"/>
      <c r="AA823" s="26"/>
      <c r="AB823" s="26"/>
      <c r="AC823" s="26"/>
      <c r="AD823" s="26"/>
    </row>
    <row r="824">
      <c r="H824" s="5"/>
      <c r="O824" s="5"/>
      <c r="V824" s="5"/>
      <c r="X824" s="28"/>
      <c r="Y824" s="26"/>
      <c r="Z824" s="26"/>
      <c r="AA824" s="26"/>
      <c r="AB824" s="26"/>
      <c r="AC824" s="26"/>
      <c r="AD824" s="26"/>
    </row>
    <row r="825">
      <c r="H825" s="5"/>
      <c r="O825" s="5"/>
      <c r="V825" s="5"/>
      <c r="X825" s="29"/>
      <c r="Y825" s="26"/>
      <c r="Z825" s="26"/>
      <c r="AA825" s="26"/>
      <c r="AB825" s="26"/>
      <c r="AC825" s="26"/>
      <c r="AD825" s="26"/>
    </row>
    <row r="826">
      <c r="H826" s="5"/>
      <c r="O826" s="5"/>
      <c r="V826" s="5"/>
      <c r="X826" s="28"/>
      <c r="Y826" s="26"/>
      <c r="Z826" s="26"/>
      <c r="AA826" s="26"/>
      <c r="AB826" s="26"/>
      <c r="AC826" s="26"/>
      <c r="AD826" s="26"/>
    </row>
    <row r="827">
      <c r="H827" s="5"/>
      <c r="O827" s="5"/>
      <c r="V827" s="5"/>
      <c r="X827" s="29"/>
      <c r="Y827" s="26"/>
      <c r="Z827" s="26"/>
      <c r="AA827" s="26"/>
      <c r="AB827" s="26"/>
      <c r="AC827" s="26"/>
      <c r="AD827" s="26"/>
    </row>
    <row r="828">
      <c r="H828" s="5"/>
      <c r="O828" s="5"/>
      <c r="V828" s="5"/>
      <c r="X828" s="28"/>
      <c r="Y828" s="26"/>
      <c r="Z828" s="26"/>
      <c r="AA828" s="26"/>
      <c r="AB828" s="26"/>
      <c r="AC828" s="26"/>
      <c r="AD828" s="26"/>
    </row>
    <row r="829">
      <c r="H829" s="5"/>
      <c r="O829" s="5"/>
      <c r="V829" s="5"/>
      <c r="X829" s="29"/>
      <c r="Y829" s="26"/>
      <c r="Z829" s="26"/>
      <c r="AA829" s="26"/>
      <c r="AB829" s="26"/>
      <c r="AC829" s="26"/>
      <c r="AD829" s="26"/>
    </row>
    <row r="830">
      <c r="H830" s="5"/>
      <c r="O830" s="5"/>
      <c r="V830" s="5"/>
      <c r="X830" s="28"/>
      <c r="Y830" s="26"/>
      <c r="Z830" s="26"/>
      <c r="AA830" s="26"/>
      <c r="AB830" s="26"/>
      <c r="AC830" s="26"/>
      <c r="AD830" s="26"/>
    </row>
    <row r="831">
      <c r="H831" s="5"/>
      <c r="O831" s="5"/>
      <c r="V831" s="5"/>
      <c r="X831" s="29"/>
      <c r="Y831" s="26"/>
      <c r="Z831" s="26"/>
      <c r="AA831" s="26"/>
      <c r="AB831" s="26"/>
      <c r="AC831" s="26"/>
      <c r="AD831" s="26"/>
    </row>
    <row r="832">
      <c r="H832" s="5"/>
      <c r="O832" s="5"/>
      <c r="V832" s="5"/>
      <c r="X832" s="28"/>
      <c r="Y832" s="26"/>
      <c r="Z832" s="26"/>
      <c r="AA832" s="26"/>
      <c r="AB832" s="26"/>
      <c r="AC832" s="26"/>
      <c r="AD832" s="26"/>
    </row>
    <row r="833">
      <c r="H833" s="5"/>
      <c r="O833" s="5"/>
      <c r="V833" s="5"/>
      <c r="X833" s="29"/>
      <c r="Y833" s="26"/>
      <c r="Z833" s="26"/>
      <c r="AA833" s="26"/>
      <c r="AB833" s="26"/>
      <c r="AC833" s="26"/>
      <c r="AD833" s="26"/>
    </row>
    <row r="834">
      <c r="H834" s="5"/>
      <c r="O834" s="5"/>
      <c r="V834" s="5"/>
      <c r="X834" s="28"/>
      <c r="Y834" s="26"/>
      <c r="Z834" s="26"/>
      <c r="AA834" s="26"/>
      <c r="AB834" s="26"/>
      <c r="AC834" s="26"/>
      <c r="AD834" s="26"/>
    </row>
    <row r="835">
      <c r="H835" s="5"/>
      <c r="O835" s="5"/>
      <c r="V835" s="5"/>
      <c r="X835" s="29"/>
      <c r="Y835" s="26"/>
      <c r="Z835" s="26"/>
      <c r="AA835" s="26"/>
      <c r="AB835" s="26"/>
      <c r="AC835" s="26"/>
      <c r="AD835" s="26"/>
    </row>
    <row r="836">
      <c r="H836" s="5"/>
      <c r="O836" s="5"/>
      <c r="V836" s="5"/>
      <c r="X836" s="28"/>
      <c r="Y836" s="26"/>
      <c r="Z836" s="26"/>
      <c r="AA836" s="26"/>
      <c r="AB836" s="26"/>
      <c r="AC836" s="26"/>
      <c r="AD836" s="26"/>
    </row>
    <row r="837">
      <c r="H837" s="5"/>
      <c r="O837" s="5"/>
      <c r="V837" s="5"/>
      <c r="X837" s="29"/>
      <c r="Y837" s="26"/>
      <c r="Z837" s="26"/>
      <c r="AA837" s="26"/>
      <c r="AB837" s="26"/>
      <c r="AC837" s="26"/>
      <c r="AD837" s="26"/>
    </row>
    <row r="838">
      <c r="H838" s="5"/>
      <c r="O838" s="5"/>
      <c r="V838" s="5"/>
      <c r="X838" s="28"/>
      <c r="Y838" s="26"/>
      <c r="Z838" s="26"/>
      <c r="AA838" s="26"/>
      <c r="AB838" s="26"/>
      <c r="AC838" s="26"/>
      <c r="AD838" s="26"/>
    </row>
    <row r="839">
      <c r="H839" s="5"/>
      <c r="O839" s="5"/>
      <c r="V839" s="5"/>
      <c r="X839" s="29"/>
      <c r="Y839" s="26"/>
      <c r="Z839" s="26"/>
      <c r="AA839" s="26"/>
      <c r="AB839" s="26"/>
      <c r="AC839" s="26"/>
      <c r="AD839" s="26"/>
    </row>
    <row r="840">
      <c r="H840" s="5"/>
      <c r="O840" s="5"/>
      <c r="V840" s="5"/>
      <c r="X840" s="28"/>
      <c r="Y840" s="26"/>
      <c r="Z840" s="26"/>
      <c r="AA840" s="26"/>
      <c r="AB840" s="26"/>
      <c r="AC840" s="26"/>
      <c r="AD840" s="26"/>
    </row>
    <row r="841">
      <c r="H841" s="5"/>
      <c r="O841" s="5"/>
      <c r="V841" s="5"/>
      <c r="X841" s="29"/>
      <c r="Y841" s="26"/>
      <c r="Z841" s="26"/>
      <c r="AA841" s="26"/>
      <c r="AB841" s="26"/>
      <c r="AC841" s="26"/>
      <c r="AD841" s="26"/>
    </row>
    <row r="842">
      <c r="H842" s="5"/>
      <c r="O842" s="5"/>
      <c r="V842" s="5"/>
      <c r="X842" s="28"/>
      <c r="Y842" s="26"/>
      <c r="Z842" s="26"/>
      <c r="AA842" s="26"/>
      <c r="AB842" s="26"/>
      <c r="AC842" s="26"/>
      <c r="AD842" s="26"/>
    </row>
    <row r="843">
      <c r="H843" s="5"/>
      <c r="O843" s="5"/>
      <c r="V843" s="5"/>
      <c r="X843" s="29"/>
      <c r="Y843" s="26"/>
      <c r="Z843" s="26"/>
      <c r="AA843" s="26"/>
      <c r="AB843" s="26"/>
      <c r="AC843" s="26"/>
      <c r="AD843" s="26"/>
    </row>
    <row r="844">
      <c r="H844" s="5"/>
      <c r="O844" s="5"/>
      <c r="V844" s="5"/>
      <c r="X844" s="28"/>
      <c r="Y844" s="26"/>
      <c r="Z844" s="26"/>
      <c r="AA844" s="26"/>
      <c r="AB844" s="26"/>
      <c r="AC844" s="26"/>
      <c r="AD844" s="26"/>
    </row>
    <row r="845">
      <c r="H845" s="5"/>
      <c r="O845" s="5"/>
      <c r="V845" s="5"/>
      <c r="X845" s="29"/>
      <c r="Y845" s="26"/>
      <c r="Z845" s="26"/>
      <c r="AA845" s="26"/>
      <c r="AB845" s="26"/>
      <c r="AC845" s="26"/>
      <c r="AD845" s="26"/>
    </row>
    <row r="846">
      <c r="H846" s="5"/>
      <c r="O846" s="5"/>
      <c r="V846" s="5"/>
      <c r="X846" s="28"/>
      <c r="Y846" s="26"/>
      <c r="Z846" s="26"/>
      <c r="AA846" s="26"/>
      <c r="AB846" s="26"/>
      <c r="AC846" s="26"/>
      <c r="AD846" s="26"/>
    </row>
    <row r="847">
      <c r="H847" s="5"/>
      <c r="O847" s="5"/>
      <c r="V847" s="5"/>
      <c r="X847" s="29"/>
      <c r="Y847" s="26"/>
      <c r="Z847" s="26"/>
      <c r="AA847" s="26"/>
      <c r="AB847" s="26"/>
      <c r="AC847" s="26"/>
      <c r="AD847" s="26"/>
    </row>
    <row r="848">
      <c r="H848" s="5"/>
      <c r="O848" s="5"/>
      <c r="V848" s="5"/>
      <c r="X848" s="28"/>
      <c r="Y848" s="26"/>
      <c r="Z848" s="26"/>
      <c r="AA848" s="26"/>
      <c r="AB848" s="26"/>
      <c r="AC848" s="26"/>
      <c r="AD848" s="26"/>
    </row>
    <row r="849">
      <c r="H849" s="5"/>
      <c r="O849" s="5"/>
      <c r="V849" s="5"/>
      <c r="X849" s="29"/>
      <c r="Y849" s="26"/>
      <c r="Z849" s="26"/>
      <c r="AA849" s="26"/>
      <c r="AB849" s="26"/>
      <c r="AC849" s="26"/>
      <c r="AD849" s="26"/>
    </row>
    <row r="850">
      <c r="H850" s="5"/>
      <c r="O850" s="5"/>
      <c r="V850" s="5"/>
      <c r="X850" s="28"/>
      <c r="Y850" s="26"/>
      <c r="Z850" s="26"/>
      <c r="AA850" s="26"/>
      <c r="AB850" s="26"/>
      <c r="AC850" s="26"/>
      <c r="AD850" s="26"/>
    </row>
    <row r="851">
      <c r="H851" s="5"/>
      <c r="O851" s="5"/>
      <c r="V851" s="5"/>
      <c r="X851" s="29"/>
      <c r="Y851" s="26"/>
      <c r="Z851" s="26"/>
      <c r="AA851" s="26"/>
      <c r="AB851" s="26"/>
      <c r="AC851" s="26"/>
      <c r="AD851" s="26"/>
    </row>
    <row r="852">
      <c r="H852" s="5"/>
      <c r="O852" s="5"/>
      <c r="V852" s="5"/>
      <c r="X852" s="28"/>
      <c r="Y852" s="26"/>
      <c r="Z852" s="26"/>
      <c r="AA852" s="26"/>
      <c r="AB852" s="26"/>
      <c r="AC852" s="26"/>
      <c r="AD852" s="26"/>
    </row>
    <row r="853">
      <c r="H853" s="5"/>
      <c r="O853" s="5"/>
      <c r="V853" s="5"/>
      <c r="X853" s="29"/>
      <c r="Y853" s="26"/>
      <c r="Z853" s="26"/>
      <c r="AA853" s="26"/>
      <c r="AB853" s="26"/>
      <c r="AC853" s="26"/>
      <c r="AD853" s="26"/>
    </row>
    <row r="854">
      <c r="H854" s="5"/>
      <c r="O854" s="5"/>
      <c r="V854" s="5"/>
      <c r="X854" s="28"/>
      <c r="Y854" s="26"/>
      <c r="Z854" s="26"/>
      <c r="AA854" s="26"/>
      <c r="AB854" s="26"/>
      <c r="AC854" s="26"/>
      <c r="AD854" s="26"/>
    </row>
    <row r="855">
      <c r="H855" s="5"/>
      <c r="O855" s="5"/>
      <c r="V855" s="5"/>
      <c r="X855" s="29"/>
      <c r="Y855" s="26"/>
      <c r="Z855" s="26"/>
      <c r="AA855" s="26"/>
      <c r="AB855" s="26"/>
      <c r="AC855" s="26"/>
      <c r="AD855" s="26"/>
    </row>
    <row r="856">
      <c r="H856" s="5"/>
      <c r="O856" s="5"/>
      <c r="V856" s="5"/>
      <c r="X856" s="28"/>
      <c r="Y856" s="26"/>
      <c r="Z856" s="26"/>
      <c r="AA856" s="26"/>
      <c r="AB856" s="26"/>
      <c r="AC856" s="26"/>
      <c r="AD856" s="26"/>
    </row>
    <row r="857">
      <c r="H857" s="5"/>
      <c r="O857" s="5"/>
      <c r="V857" s="5"/>
      <c r="X857" s="29"/>
      <c r="Y857" s="26"/>
      <c r="Z857" s="26"/>
      <c r="AA857" s="26"/>
      <c r="AB857" s="26"/>
      <c r="AC857" s="26"/>
      <c r="AD857" s="26"/>
    </row>
    <row r="858">
      <c r="H858" s="5"/>
      <c r="O858" s="5"/>
      <c r="V858" s="5"/>
      <c r="X858" s="28"/>
      <c r="Y858" s="26"/>
      <c r="Z858" s="26"/>
      <c r="AA858" s="26"/>
      <c r="AB858" s="26"/>
      <c r="AC858" s="26"/>
      <c r="AD858" s="26"/>
    </row>
    <row r="859">
      <c r="H859" s="5"/>
      <c r="O859" s="5"/>
      <c r="V859" s="5"/>
      <c r="X859" s="29"/>
      <c r="Y859" s="26"/>
      <c r="Z859" s="26"/>
      <c r="AA859" s="26"/>
      <c r="AB859" s="26"/>
      <c r="AC859" s="26"/>
      <c r="AD859" s="26"/>
    </row>
    <row r="860">
      <c r="H860" s="5"/>
      <c r="O860" s="5"/>
      <c r="V860" s="5"/>
      <c r="X860" s="28"/>
      <c r="Y860" s="26"/>
      <c r="Z860" s="26"/>
      <c r="AA860" s="26"/>
      <c r="AB860" s="26"/>
      <c r="AC860" s="26"/>
      <c r="AD860" s="26"/>
    </row>
    <row r="861">
      <c r="H861" s="5"/>
      <c r="O861" s="5"/>
      <c r="V861" s="5"/>
      <c r="X861" s="29"/>
      <c r="Y861" s="26"/>
      <c r="Z861" s="26"/>
      <c r="AA861" s="26"/>
      <c r="AB861" s="26"/>
      <c r="AC861" s="26"/>
      <c r="AD861" s="26"/>
    </row>
    <row r="862">
      <c r="H862" s="5"/>
      <c r="O862" s="5"/>
      <c r="V862" s="5"/>
      <c r="X862" s="28"/>
      <c r="Y862" s="26"/>
      <c r="Z862" s="26"/>
      <c r="AA862" s="26"/>
      <c r="AB862" s="26"/>
      <c r="AC862" s="26"/>
      <c r="AD862" s="26"/>
    </row>
    <row r="863">
      <c r="H863" s="5"/>
      <c r="O863" s="5"/>
      <c r="V863" s="5"/>
      <c r="X863" s="29"/>
      <c r="Y863" s="26"/>
      <c r="Z863" s="26"/>
      <c r="AA863" s="26"/>
      <c r="AB863" s="26"/>
      <c r="AC863" s="26"/>
      <c r="AD863" s="26"/>
    </row>
    <row r="864">
      <c r="H864" s="5"/>
      <c r="O864" s="5"/>
      <c r="V864" s="5"/>
      <c r="X864" s="28"/>
      <c r="Y864" s="26"/>
      <c r="Z864" s="26"/>
      <c r="AA864" s="26"/>
      <c r="AB864" s="26"/>
      <c r="AC864" s="26"/>
      <c r="AD864" s="26"/>
    </row>
    <row r="865">
      <c r="H865" s="5"/>
      <c r="O865" s="5"/>
      <c r="V865" s="5"/>
      <c r="X865" s="29"/>
      <c r="Y865" s="26"/>
      <c r="Z865" s="26"/>
      <c r="AA865" s="26"/>
      <c r="AB865" s="26"/>
      <c r="AC865" s="26"/>
      <c r="AD865" s="26"/>
    </row>
    <row r="866">
      <c r="H866" s="5"/>
      <c r="O866" s="5"/>
      <c r="V866" s="5"/>
      <c r="X866" s="28"/>
      <c r="Y866" s="26"/>
      <c r="Z866" s="26"/>
      <c r="AA866" s="26"/>
      <c r="AB866" s="26"/>
      <c r="AC866" s="26"/>
      <c r="AD866" s="26"/>
    </row>
    <row r="867">
      <c r="H867" s="5"/>
      <c r="O867" s="5"/>
      <c r="V867" s="5"/>
      <c r="X867" s="29"/>
      <c r="Y867" s="26"/>
      <c r="Z867" s="26"/>
      <c r="AA867" s="26"/>
      <c r="AB867" s="26"/>
      <c r="AC867" s="26"/>
      <c r="AD867" s="26"/>
    </row>
    <row r="868">
      <c r="H868" s="5"/>
      <c r="O868" s="5"/>
      <c r="V868" s="5"/>
      <c r="X868" s="28"/>
      <c r="Y868" s="26"/>
      <c r="Z868" s="26"/>
      <c r="AA868" s="26"/>
      <c r="AB868" s="26"/>
      <c r="AC868" s="26"/>
      <c r="AD868" s="26"/>
    </row>
    <row r="869">
      <c r="H869" s="5"/>
      <c r="O869" s="5"/>
      <c r="V869" s="5"/>
      <c r="X869" s="29"/>
      <c r="Y869" s="26"/>
      <c r="Z869" s="26"/>
      <c r="AA869" s="26"/>
      <c r="AB869" s="26"/>
      <c r="AC869" s="26"/>
      <c r="AD869" s="26"/>
    </row>
    <row r="870">
      <c r="H870" s="5"/>
      <c r="O870" s="5"/>
      <c r="V870" s="5"/>
      <c r="X870" s="28"/>
      <c r="Y870" s="26"/>
      <c r="Z870" s="26"/>
      <c r="AA870" s="26"/>
      <c r="AB870" s="26"/>
      <c r="AC870" s="26"/>
      <c r="AD870" s="26"/>
    </row>
    <row r="871">
      <c r="H871" s="5"/>
      <c r="O871" s="5"/>
      <c r="V871" s="5"/>
      <c r="X871" s="29"/>
      <c r="Y871" s="26"/>
      <c r="Z871" s="26"/>
      <c r="AA871" s="26"/>
      <c r="AB871" s="26"/>
      <c r="AC871" s="26"/>
      <c r="AD871" s="26"/>
    </row>
    <row r="872">
      <c r="H872" s="5"/>
      <c r="O872" s="5"/>
      <c r="V872" s="5"/>
      <c r="X872" s="28"/>
      <c r="Y872" s="26"/>
      <c r="Z872" s="26"/>
      <c r="AA872" s="26"/>
      <c r="AB872" s="26"/>
      <c r="AC872" s="26"/>
      <c r="AD872" s="26"/>
    </row>
    <row r="873">
      <c r="H873" s="5"/>
      <c r="O873" s="5"/>
      <c r="V873" s="5"/>
      <c r="X873" s="29"/>
      <c r="Y873" s="26"/>
      <c r="Z873" s="26"/>
      <c r="AA873" s="26"/>
      <c r="AB873" s="26"/>
      <c r="AC873" s="26"/>
      <c r="AD873" s="26"/>
    </row>
    <row r="874">
      <c r="H874" s="5"/>
      <c r="O874" s="5"/>
      <c r="V874" s="5"/>
      <c r="X874" s="28"/>
      <c r="Y874" s="26"/>
      <c r="Z874" s="26"/>
      <c r="AA874" s="26"/>
      <c r="AB874" s="26"/>
      <c r="AC874" s="26"/>
      <c r="AD874" s="26"/>
    </row>
    <row r="875">
      <c r="H875" s="5"/>
      <c r="O875" s="5"/>
      <c r="V875" s="5"/>
      <c r="X875" s="29"/>
      <c r="Y875" s="26"/>
      <c r="Z875" s="26"/>
      <c r="AA875" s="26"/>
      <c r="AB875" s="26"/>
      <c r="AC875" s="26"/>
      <c r="AD875" s="26"/>
    </row>
    <row r="876">
      <c r="H876" s="5"/>
      <c r="O876" s="5"/>
      <c r="V876" s="5"/>
      <c r="X876" s="28"/>
      <c r="Y876" s="26"/>
      <c r="Z876" s="26"/>
      <c r="AA876" s="26"/>
      <c r="AB876" s="26"/>
      <c r="AC876" s="26"/>
      <c r="AD876" s="26"/>
    </row>
    <row r="877">
      <c r="H877" s="5"/>
      <c r="O877" s="5"/>
      <c r="V877" s="5"/>
      <c r="X877" s="29"/>
      <c r="Y877" s="26"/>
      <c r="Z877" s="26"/>
      <c r="AA877" s="26"/>
      <c r="AB877" s="26"/>
      <c r="AC877" s="26"/>
      <c r="AD877" s="26"/>
    </row>
    <row r="878">
      <c r="H878" s="5"/>
      <c r="O878" s="5"/>
      <c r="V878" s="5"/>
      <c r="X878" s="28"/>
      <c r="Y878" s="26"/>
      <c r="Z878" s="26"/>
      <c r="AA878" s="26"/>
      <c r="AB878" s="26"/>
      <c r="AC878" s="26"/>
      <c r="AD878" s="26"/>
    </row>
    <row r="879">
      <c r="H879" s="5"/>
      <c r="O879" s="5"/>
      <c r="V879" s="5"/>
      <c r="X879" s="29"/>
      <c r="Y879" s="26"/>
      <c r="Z879" s="26"/>
      <c r="AA879" s="26"/>
      <c r="AB879" s="26"/>
      <c r="AC879" s="26"/>
      <c r="AD879" s="26"/>
    </row>
    <row r="880">
      <c r="H880" s="5"/>
      <c r="O880" s="5"/>
      <c r="V880" s="5"/>
      <c r="X880" s="28"/>
      <c r="Y880" s="26"/>
      <c r="Z880" s="26"/>
      <c r="AA880" s="26"/>
      <c r="AB880" s="26"/>
      <c r="AC880" s="26"/>
      <c r="AD880" s="26"/>
    </row>
    <row r="881">
      <c r="H881" s="5"/>
      <c r="O881" s="5"/>
      <c r="V881" s="5"/>
      <c r="X881" s="29"/>
      <c r="Y881" s="26"/>
      <c r="Z881" s="26"/>
      <c r="AA881" s="26"/>
      <c r="AB881" s="26"/>
      <c r="AC881" s="26"/>
      <c r="AD881" s="26"/>
    </row>
    <row r="882">
      <c r="H882" s="5"/>
      <c r="O882" s="5"/>
      <c r="V882" s="5"/>
      <c r="X882" s="28"/>
      <c r="Y882" s="26"/>
      <c r="Z882" s="26"/>
      <c r="AA882" s="26"/>
      <c r="AB882" s="26"/>
      <c r="AC882" s="26"/>
      <c r="AD882" s="26"/>
    </row>
    <row r="883">
      <c r="H883" s="5"/>
      <c r="O883" s="5"/>
      <c r="V883" s="5"/>
      <c r="X883" s="29"/>
      <c r="Y883" s="26"/>
      <c r="Z883" s="26"/>
      <c r="AA883" s="26"/>
      <c r="AB883" s="26"/>
      <c r="AC883" s="26"/>
      <c r="AD883" s="26"/>
    </row>
    <row r="884">
      <c r="H884" s="5"/>
      <c r="O884" s="5"/>
      <c r="V884" s="5"/>
      <c r="X884" s="28"/>
      <c r="Y884" s="26"/>
      <c r="Z884" s="26"/>
      <c r="AA884" s="26"/>
      <c r="AB884" s="26"/>
      <c r="AC884" s="26"/>
      <c r="AD884" s="26"/>
    </row>
    <row r="885">
      <c r="H885" s="5"/>
      <c r="O885" s="5"/>
      <c r="V885" s="5"/>
      <c r="X885" s="29"/>
      <c r="Y885" s="26"/>
      <c r="Z885" s="26"/>
      <c r="AA885" s="26"/>
      <c r="AB885" s="26"/>
      <c r="AC885" s="26"/>
      <c r="AD885" s="26"/>
    </row>
    <row r="886">
      <c r="H886" s="5"/>
      <c r="O886" s="5"/>
      <c r="V886" s="5"/>
      <c r="X886" s="28"/>
      <c r="Y886" s="26"/>
      <c r="Z886" s="26"/>
      <c r="AA886" s="26"/>
      <c r="AB886" s="26"/>
      <c r="AC886" s="26"/>
      <c r="AD886" s="26"/>
    </row>
    <row r="887">
      <c r="H887" s="5"/>
      <c r="O887" s="5"/>
      <c r="V887" s="5"/>
      <c r="X887" s="29"/>
      <c r="Y887" s="26"/>
      <c r="Z887" s="26"/>
      <c r="AA887" s="26"/>
      <c r="AB887" s="26"/>
      <c r="AC887" s="26"/>
      <c r="AD887" s="26"/>
    </row>
    <row r="888">
      <c r="H888" s="5"/>
      <c r="O888" s="5"/>
      <c r="V888" s="5"/>
      <c r="X888" s="28"/>
      <c r="Y888" s="26"/>
      <c r="Z888" s="26"/>
      <c r="AA888" s="26"/>
      <c r="AB888" s="26"/>
      <c r="AC888" s="26"/>
      <c r="AD888" s="26"/>
    </row>
    <row r="889">
      <c r="H889" s="5"/>
      <c r="O889" s="5"/>
      <c r="V889" s="5"/>
      <c r="X889" s="29"/>
      <c r="Y889" s="26"/>
      <c r="Z889" s="26"/>
      <c r="AA889" s="26"/>
      <c r="AB889" s="26"/>
      <c r="AC889" s="26"/>
      <c r="AD889" s="26"/>
    </row>
    <row r="890">
      <c r="H890" s="5"/>
      <c r="O890" s="5"/>
      <c r="V890" s="5"/>
      <c r="X890" s="28"/>
      <c r="Y890" s="26"/>
      <c r="Z890" s="26"/>
      <c r="AA890" s="26"/>
      <c r="AB890" s="26"/>
      <c r="AC890" s="26"/>
      <c r="AD890" s="26"/>
    </row>
    <row r="891">
      <c r="H891" s="5"/>
      <c r="O891" s="5"/>
      <c r="V891" s="5"/>
      <c r="X891" s="29"/>
      <c r="Y891" s="26"/>
      <c r="Z891" s="26"/>
      <c r="AA891" s="26"/>
      <c r="AB891" s="26"/>
      <c r="AC891" s="26"/>
      <c r="AD891" s="26"/>
    </row>
    <row r="892">
      <c r="H892" s="5"/>
      <c r="O892" s="5"/>
      <c r="V892" s="5"/>
      <c r="X892" s="28"/>
      <c r="Y892" s="26"/>
      <c r="Z892" s="26"/>
      <c r="AA892" s="26"/>
      <c r="AB892" s="26"/>
      <c r="AC892" s="26"/>
      <c r="AD892" s="26"/>
    </row>
    <row r="893">
      <c r="H893" s="5"/>
      <c r="O893" s="5"/>
      <c r="V893" s="5"/>
      <c r="X893" s="29"/>
      <c r="Y893" s="26"/>
      <c r="Z893" s="26"/>
      <c r="AA893" s="26"/>
      <c r="AB893" s="26"/>
      <c r="AC893" s="26"/>
      <c r="AD893" s="26"/>
    </row>
    <row r="894">
      <c r="H894" s="5"/>
      <c r="O894" s="5"/>
      <c r="V894" s="5"/>
      <c r="X894" s="28"/>
      <c r="Y894" s="26"/>
      <c r="Z894" s="26"/>
      <c r="AA894" s="26"/>
      <c r="AB894" s="26"/>
      <c r="AC894" s="26"/>
      <c r="AD894" s="26"/>
    </row>
    <row r="895">
      <c r="H895" s="5"/>
      <c r="O895" s="5"/>
      <c r="V895" s="5"/>
      <c r="X895" s="29"/>
      <c r="Y895" s="26"/>
      <c r="Z895" s="26"/>
      <c r="AA895" s="26"/>
      <c r="AB895" s="26"/>
      <c r="AC895" s="26"/>
      <c r="AD895" s="26"/>
    </row>
    <row r="896">
      <c r="H896" s="5"/>
      <c r="O896" s="5"/>
      <c r="V896" s="5"/>
      <c r="X896" s="28"/>
      <c r="Y896" s="26"/>
      <c r="Z896" s="26"/>
      <c r="AA896" s="26"/>
      <c r="AB896" s="26"/>
      <c r="AC896" s="26"/>
      <c r="AD896" s="26"/>
    </row>
    <row r="897">
      <c r="H897" s="5"/>
      <c r="O897" s="5"/>
      <c r="V897" s="5"/>
      <c r="X897" s="29"/>
      <c r="Y897" s="26"/>
      <c r="Z897" s="26"/>
      <c r="AA897" s="26"/>
      <c r="AB897" s="26"/>
      <c r="AC897" s="26"/>
      <c r="AD897" s="26"/>
    </row>
    <row r="898">
      <c r="H898" s="5"/>
      <c r="O898" s="5"/>
      <c r="V898" s="5"/>
      <c r="X898" s="28"/>
      <c r="Y898" s="26"/>
      <c r="Z898" s="26"/>
      <c r="AA898" s="26"/>
      <c r="AB898" s="26"/>
      <c r="AC898" s="26"/>
      <c r="AD898" s="26"/>
    </row>
    <row r="899">
      <c r="H899" s="5"/>
      <c r="O899" s="5"/>
      <c r="V899" s="5"/>
      <c r="X899" s="29"/>
      <c r="Y899" s="26"/>
      <c r="Z899" s="26"/>
      <c r="AA899" s="26"/>
      <c r="AB899" s="26"/>
      <c r="AC899" s="26"/>
      <c r="AD899" s="26"/>
    </row>
    <row r="900">
      <c r="H900" s="5"/>
      <c r="O900" s="5"/>
      <c r="V900" s="5"/>
      <c r="X900" s="28"/>
      <c r="Y900" s="26"/>
      <c r="Z900" s="26"/>
      <c r="AA900" s="26"/>
      <c r="AB900" s="26"/>
      <c r="AC900" s="26"/>
      <c r="AD900" s="26"/>
    </row>
    <row r="901">
      <c r="H901" s="5"/>
      <c r="O901" s="5"/>
      <c r="V901" s="5"/>
      <c r="X901" s="29"/>
      <c r="Y901" s="26"/>
      <c r="Z901" s="26"/>
      <c r="AA901" s="26"/>
      <c r="AB901" s="26"/>
      <c r="AC901" s="26"/>
      <c r="AD901" s="26"/>
    </row>
    <row r="902">
      <c r="H902" s="5"/>
      <c r="O902" s="5"/>
      <c r="V902" s="5"/>
      <c r="X902" s="28"/>
      <c r="Y902" s="26"/>
      <c r="Z902" s="26"/>
      <c r="AA902" s="26"/>
      <c r="AB902" s="26"/>
      <c r="AC902" s="26"/>
      <c r="AD902" s="26"/>
    </row>
    <row r="903">
      <c r="H903" s="5"/>
      <c r="O903" s="5"/>
      <c r="V903" s="5"/>
      <c r="X903" s="29"/>
      <c r="Y903" s="26"/>
      <c r="Z903" s="26"/>
      <c r="AA903" s="26"/>
      <c r="AB903" s="26"/>
      <c r="AC903" s="26"/>
      <c r="AD903" s="26"/>
    </row>
    <row r="904">
      <c r="H904" s="5"/>
      <c r="O904" s="5"/>
      <c r="V904" s="5"/>
      <c r="X904" s="28"/>
      <c r="Y904" s="26"/>
      <c r="Z904" s="26"/>
      <c r="AA904" s="26"/>
      <c r="AB904" s="26"/>
      <c r="AC904" s="26"/>
      <c r="AD904" s="26"/>
    </row>
    <row r="905">
      <c r="H905" s="5"/>
      <c r="O905" s="5"/>
      <c r="V905" s="5"/>
      <c r="X905" s="29"/>
      <c r="Y905" s="26"/>
      <c r="Z905" s="26"/>
      <c r="AA905" s="26"/>
      <c r="AB905" s="26"/>
      <c r="AC905" s="26"/>
      <c r="AD905" s="26"/>
    </row>
    <row r="906">
      <c r="H906" s="5"/>
      <c r="O906" s="5"/>
      <c r="V906" s="5"/>
      <c r="X906" s="28"/>
      <c r="Y906" s="26"/>
      <c r="Z906" s="26"/>
      <c r="AA906" s="26"/>
      <c r="AB906" s="26"/>
      <c r="AC906" s="26"/>
      <c r="AD906" s="26"/>
    </row>
    <row r="907">
      <c r="H907" s="5"/>
      <c r="O907" s="5"/>
      <c r="V907" s="5"/>
      <c r="X907" s="29"/>
      <c r="Y907" s="26"/>
      <c r="Z907" s="26"/>
      <c r="AA907" s="26"/>
      <c r="AB907" s="26"/>
      <c r="AC907" s="26"/>
      <c r="AD907" s="26"/>
    </row>
    <row r="908">
      <c r="H908" s="5"/>
      <c r="O908" s="5"/>
      <c r="V908" s="5"/>
      <c r="X908" s="28"/>
      <c r="Y908" s="26"/>
      <c r="Z908" s="26"/>
      <c r="AA908" s="26"/>
      <c r="AB908" s="26"/>
      <c r="AC908" s="26"/>
      <c r="AD908" s="26"/>
    </row>
    <row r="909">
      <c r="H909" s="5"/>
      <c r="O909" s="5"/>
      <c r="V909" s="5"/>
      <c r="X909" s="29"/>
      <c r="Y909" s="26"/>
      <c r="Z909" s="26"/>
      <c r="AA909" s="26"/>
      <c r="AB909" s="26"/>
      <c r="AC909" s="26"/>
      <c r="AD909" s="26"/>
    </row>
    <row r="910">
      <c r="H910" s="5"/>
      <c r="O910" s="5"/>
      <c r="V910" s="5"/>
      <c r="X910" s="28"/>
      <c r="Y910" s="26"/>
      <c r="Z910" s="26"/>
      <c r="AA910" s="26"/>
      <c r="AB910" s="26"/>
      <c r="AC910" s="26"/>
      <c r="AD910" s="26"/>
    </row>
    <row r="911">
      <c r="H911" s="5"/>
      <c r="O911" s="5"/>
      <c r="V911" s="5"/>
      <c r="X911" s="29"/>
      <c r="Y911" s="26"/>
      <c r="Z911" s="26"/>
      <c r="AA911" s="26"/>
      <c r="AB911" s="26"/>
      <c r="AC911" s="26"/>
      <c r="AD911" s="26"/>
    </row>
    <row r="912">
      <c r="H912" s="5"/>
      <c r="O912" s="5"/>
      <c r="V912" s="5"/>
      <c r="X912" s="28"/>
      <c r="Y912" s="26"/>
      <c r="Z912" s="26"/>
      <c r="AA912" s="26"/>
      <c r="AB912" s="26"/>
      <c r="AC912" s="26"/>
      <c r="AD912" s="26"/>
    </row>
    <row r="913">
      <c r="H913" s="5"/>
      <c r="O913" s="5"/>
      <c r="V913" s="5"/>
      <c r="X913" s="29"/>
      <c r="Y913" s="26"/>
      <c r="Z913" s="26"/>
      <c r="AA913" s="26"/>
      <c r="AB913" s="26"/>
      <c r="AC913" s="26"/>
      <c r="AD913" s="26"/>
    </row>
    <row r="914">
      <c r="H914" s="5"/>
      <c r="O914" s="5"/>
      <c r="V914" s="5"/>
      <c r="X914" s="28"/>
      <c r="Y914" s="26"/>
      <c r="Z914" s="26"/>
      <c r="AA914" s="26"/>
      <c r="AB914" s="26"/>
      <c r="AC914" s="26"/>
      <c r="AD914" s="26"/>
    </row>
    <row r="915">
      <c r="H915" s="5"/>
      <c r="O915" s="5"/>
      <c r="V915" s="5"/>
      <c r="X915" s="29"/>
      <c r="Y915" s="26"/>
      <c r="Z915" s="26"/>
      <c r="AA915" s="26"/>
      <c r="AB915" s="26"/>
      <c r="AC915" s="26"/>
      <c r="AD915" s="26"/>
    </row>
    <row r="916">
      <c r="H916" s="5"/>
      <c r="O916" s="5"/>
      <c r="V916" s="5"/>
      <c r="X916" s="28"/>
      <c r="Y916" s="26"/>
      <c r="Z916" s="26"/>
      <c r="AA916" s="26"/>
      <c r="AB916" s="26"/>
      <c r="AC916" s="26"/>
      <c r="AD916" s="26"/>
    </row>
    <row r="917">
      <c r="H917" s="5"/>
      <c r="O917" s="5"/>
      <c r="V917" s="5"/>
      <c r="X917" s="29"/>
      <c r="Y917" s="26"/>
      <c r="Z917" s="26"/>
      <c r="AA917" s="26"/>
      <c r="AB917" s="26"/>
      <c r="AC917" s="26"/>
      <c r="AD917" s="26"/>
    </row>
    <row r="918">
      <c r="H918" s="5"/>
      <c r="O918" s="5"/>
      <c r="V918" s="5"/>
      <c r="X918" s="28"/>
      <c r="Y918" s="26"/>
      <c r="Z918" s="26"/>
      <c r="AA918" s="26"/>
      <c r="AB918" s="26"/>
      <c r="AC918" s="26"/>
      <c r="AD918" s="26"/>
    </row>
    <row r="919">
      <c r="H919" s="5"/>
      <c r="O919" s="5"/>
      <c r="V919" s="5"/>
      <c r="X919" s="29"/>
      <c r="Y919" s="26"/>
      <c r="Z919" s="26"/>
      <c r="AA919" s="26"/>
      <c r="AB919" s="26"/>
      <c r="AC919" s="26"/>
      <c r="AD919" s="26"/>
    </row>
    <row r="920">
      <c r="H920" s="5"/>
      <c r="O920" s="5"/>
      <c r="V920" s="5"/>
      <c r="X920" s="28"/>
      <c r="Y920" s="26"/>
      <c r="Z920" s="26"/>
      <c r="AA920" s="26"/>
      <c r="AB920" s="26"/>
      <c r="AC920" s="26"/>
      <c r="AD920" s="26"/>
    </row>
    <row r="921">
      <c r="H921" s="5"/>
      <c r="O921" s="5"/>
      <c r="V921" s="5"/>
      <c r="X921" s="29"/>
      <c r="Y921" s="26"/>
      <c r="Z921" s="26"/>
      <c r="AA921" s="26"/>
      <c r="AB921" s="26"/>
      <c r="AC921" s="26"/>
      <c r="AD921" s="26"/>
    </row>
    <row r="922">
      <c r="H922" s="5"/>
      <c r="O922" s="5"/>
      <c r="V922" s="5"/>
      <c r="X922" s="28"/>
      <c r="Y922" s="26"/>
      <c r="Z922" s="26"/>
      <c r="AA922" s="26"/>
      <c r="AB922" s="26"/>
      <c r="AC922" s="26"/>
      <c r="AD922" s="26"/>
    </row>
    <row r="923">
      <c r="H923" s="5"/>
      <c r="O923" s="5"/>
      <c r="V923" s="5"/>
      <c r="X923" s="29"/>
      <c r="Y923" s="26"/>
      <c r="Z923" s="26"/>
      <c r="AA923" s="26"/>
      <c r="AB923" s="26"/>
      <c r="AC923" s="26"/>
      <c r="AD923" s="26"/>
    </row>
    <row r="924">
      <c r="H924" s="5"/>
      <c r="O924" s="5"/>
      <c r="V924" s="5"/>
      <c r="X924" s="28"/>
      <c r="Y924" s="26"/>
      <c r="Z924" s="26"/>
      <c r="AA924" s="26"/>
      <c r="AB924" s="26"/>
      <c r="AC924" s="26"/>
      <c r="AD924" s="26"/>
    </row>
    <row r="925">
      <c r="H925" s="5"/>
      <c r="O925" s="5"/>
      <c r="V925" s="5"/>
      <c r="X925" s="29"/>
      <c r="Y925" s="26"/>
      <c r="Z925" s="26"/>
      <c r="AA925" s="26"/>
      <c r="AB925" s="26"/>
      <c r="AC925" s="26"/>
      <c r="AD925" s="26"/>
    </row>
    <row r="926">
      <c r="H926" s="5"/>
      <c r="O926" s="5"/>
      <c r="V926" s="5"/>
      <c r="X926" s="28"/>
      <c r="Y926" s="26"/>
      <c r="Z926" s="26"/>
      <c r="AA926" s="26"/>
      <c r="AB926" s="26"/>
      <c r="AC926" s="26"/>
      <c r="AD926" s="26"/>
    </row>
    <row r="927">
      <c r="H927" s="5"/>
      <c r="O927" s="5"/>
      <c r="V927" s="5"/>
      <c r="X927" s="29"/>
      <c r="Y927" s="26"/>
      <c r="Z927" s="26"/>
      <c r="AA927" s="26"/>
      <c r="AB927" s="26"/>
      <c r="AC927" s="26"/>
      <c r="AD927" s="26"/>
    </row>
    <row r="928">
      <c r="H928" s="5"/>
      <c r="O928" s="5"/>
      <c r="V928" s="5"/>
      <c r="X928" s="28"/>
      <c r="Y928" s="26"/>
      <c r="Z928" s="26"/>
      <c r="AA928" s="26"/>
      <c r="AB928" s="26"/>
      <c r="AC928" s="26"/>
      <c r="AD928" s="26"/>
    </row>
    <row r="929">
      <c r="H929" s="5"/>
      <c r="O929" s="5"/>
      <c r="V929" s="5"/>
      <c r="X929" s="29"/>
      <c r="Y929" s="26"/>
      <c r="Z929" s="26"/>
      <c r="AA929" s="26"/>
      <c r="AB929" s="26"/>
      <c r="AC929" s="26"/>
      <c r="AD929" s="26"/>
    </row>
    <row r="930">
      <c r="H930" s="5"/>
      <c r="O930" s="5"/>
      <c r="V930" s="5"/>
      <c r="X930" s="28"/>
      <c r="Y930" s="26"/>
      <c r="Z930" s="26"/>
      <c r="AA930" s="26"/>
      <c r="AB930" s="26"/>
      <c r="AC930" s="26"/>
      <c r="AD930" s="26"/>
    </row>
    <row r="931">
      <c r="H931" s="5"/>
      <c r="O931" s="5"/>
      <c r="V931" s="5"/>
      <c r="X931" s="29"/>
      <c r="Y931" s="26"/>
      <c r="Z931" s="26"/>
      <c r="AA931" s="26"/>
      <c r="AB931" s="26"/>
      <c r="AC931" s="26"/>
      <c r="AD931" s="26"/>
    </row>
    <row r="932">
      <c r="H932" s="5"/>
      <c r="O932" s="5"/>
      <c r="V932" s="5"/>
      <c r="X932" s="28"/>
      <c r="Y932" s="26"/>
      <c r="Z932" s="26"/>
      <c r="AA932" s="26"/>
      <c r="AB932" s="26"/>
      <c r="AC932" s="26"/>
      <c r="AD932" s="26"/>
    </row>
    <row r="933">
      <c r="H933" s="5"/>
      <c r="O933" s="5"/>
      <c r="V933" s="5"/>
      <c r="X933" s="29"/>
      <c r="Y933" s="26"/>
      <c r="Z933" s="26"/>
      <c r="AA933" s="26"/>
      <c r="AB933" s="26"/>
      <c r="AC933" s="26"/>
      <c r="AD933" s="26"/>
    </row>
    <row r="934">
      <c r="H934" s="5"/>
      <c r="O934" s="5"/>
      <c r="V934" s="5"/>
      <c r="X934" s="28"/>
      <c r="Y934" s="26"/>
      <c r="Z934" s="26"/>
      <c r="AA934" s="26"/>
      <c r="AB934" s="26"/>
      <c r="AC934" s="26"/>
      <c r="AD934" s="26"/>
    </row>
    <row r="935">
      <c r="H935" s="5"/>
      <c r="O935" s="5"/>
      <c r="V935" s="5"/>
      <c r="X935" s="29"/>
      <c r="Y935" s="26"/>
      <c r="Z935" s="26"/>
      <c r="AA935" s="26"/>
      <c r="AB935" s="26"/>
      <c r="AC935" s="26"/>
      <c r="AD935" s="26"/>
    </row>
    <row r="936">
      <c r="H936" s="5"/>
      <c r="O936" s="5"/>
      <c r="V936" s="5"/>
      <c r="X936" s="28"/>
      <c r="Y936" s="26"/>
      <c r="Z936" s="26"/>
      <c r="AA936" s="26"/>
      <c r="AB936" s="26"/>
      <c r="AC936" s="26"/>
      <c r="AD936" s="26"/>
    </row>
    <row r="937">
      <c r="H937" s="5"/>
      <c r="O937" s="5"/>
      <c r="V937" s="5"/>
      <c r="X937" s="29"/>
      <c r="Y937" s="26"/>
      <c r="Z937" s="26"/>
      <c r="AA937" s="26"/>
      <c r="AB937" s="26"/>
      <c r="AC937" s="26"/>
      <c r="AD937" s="26"/>
    </row>
    <row r="938">
      <c r="H938" s="5"/>
      <c r="O938" s="5"/>
      <c r="V938" s="5"/>
      <c r="X938" s="28"/>
      <c r="Y938" s="26"/>
      <c r="Z938" s="26"/>
      <c r="AA938" s="26"/>
      <c r="AB938" s="26"/>
      <c r="AC938" s="26"/>
      <c r="AD938" s="26"/>
    </row>
    <row r="939">
      <c r="H939" s="5"/>
      <c r="O939" s="5"/>
      <c r="V939" s="5"/>
      <c r="X939" s="29"/>
      <c r="Y939" s="26"/>
      <c r="Z939" s="26"/>
      <c r="AA939" s="26"/>
      <c r="AB939" s="26"/>
      <c r="AC939" s="26"/>
      <c r="AD939" s="26"/>
    </row>
    <row r="940">
      <c r="H940" s="5"/>
      <c r="O940" s="5"/>
      <c r="V940" s="5"/>
      <c r="X940" s="28"/>
      <c r="Y940" s="26"/>
      <c r="Z940" s="26"/>
      <c r="AA940" s="26"/>
      <c r="AB940" s="26"/>
      <c r="AC940" s="26"/>
      <c r="AD940" s="26"/>
    </row>
    <row r="941">
      <c r="H941" s="5"/>
      <c r="O941" s="5"/>
      <c r="V941" s="5"/>
      <c r="X941" s="29"/>
      <c r="Y941" s="26"/>
      <c r="Z941" s="26"/>
      <c r="AA941" s="26"/>
      <c r="AB941" s="26"/>
      <c r="AC941" s="26"/>
      <c r="AD941" s="26"/>
    </row>
    <row r="942">
      <c r="H942" s="5"/>
      <c r="O942" s="5"/>
      <c r="V942" s="5"/>
      <c r="X942" s="28"/>
      <c r="Y942" s="26"/>
      <c r="Z942" s="26"/>
      <c r="AA942" s="26"/>
      <c r="AB942" s="26"/>
      <c r="AC942" s="26"/>
      <c r="AD942" s="26"/>
    </row>
    <row r="943">
      <c r="H943" s="5"/>
      <c r="O943" s="5"/>
      <c r="V943" s="5"/>
      <c r="X943" s="29"/>
      <c r="Y943" s="26"/>
      <c r="Z943" s="26"/>
      <c r="AA943" s="26"/>
      <c r="AB943" s="26"/>
      <c r="AC943" s="26"/>
      <c r="AD943" s="26"/>
    </row>
    <row r="944">
      <c r="H944" s="5"/>
      <c r="O944" s="5"/>
      <c r="V944" s="5"/>
      <c r="X944" s="28"/>
      <c r="Y944" s="26"/>
      <c r="Z944" s="26"/>
      <c r="AA944" s="26"/>
      <c r="AB944" s="26"/>
      <c r="AC944" s="26"/>
      <c r="AD944" s="26"/>
    </row>
    <row r="945">
      <c r="H945" s="5"/>
      <c r="O945" s="5"/>
      <c r="V945" s="5"/>
      <c r="X945" s="29"/>
      <c r="Y945" s="26"/>
      <c r="Z945" s="26"/>
      <c r="AA945" s="26"/>
      <c r="AB945" s="26"/>
      <c r="AC945" s="26"/>
      <c r="AD945" s="26"/>
    </row>
    <row r="946">
      <c r="H946" s="5"/>
      <c r="O946" s="5"/>
      <c r="V946" s="5"/>
      <c r="X946" s="28"/>
      <c r="Y946" s="26"/>
      <c r="Z946" s="26"/>
      <c r="AA946" s="26"/>
      <c r="AB946" s="26"/>
      <c r="AC946" s="26"/>
      <c r="AD946" s="26"/>
    </row>
    <row r="947">
      <c r="H947" s="5"/>
      <c r="O947" s="5"/>
      <c r="V947" s="5"/>
      <c r="X947" s="29"/>
      <c r="Y947" s="26"/>
      <c r="Z947" s="26"/>
      <c r="AA947" s="26"/>
      <c r="AB947" s="26"/>
      <c r="AC947" s="26"/>
      <c r="AD947" s="26"/>
    </row>
    <row r="948">
      <c r="H948" s="5"/>
      <c r="O948" s="5"/>
      <c r="V948" s="5"/>
      <c r="X948" s="28"/>
      <c r="Y948" s="26"/>
      <c r="Z948" s="26"/>
      <c r="AA948" s="26"/>
      <c r="AB948" s="26"/>
      <c r="AC948" s="26"/>
      <c r="AD948" s="26"/>
    </row>
    <row r="949">
      <c r="H949" s="5"/>
      <c r="O949" s="5"/>
      <c r="V949" s="5"/>
      <c r="X949" s="29"/>
      <c r="Y949" s="26"/>
      <c r="Z949" s="26"/>
      <c r="AA949" s="26"/>
      <c r="AB949" s="26"/>
      <c r="AC949" s="26"/>
      <c r="AD949" s="26"/>
    </row>
    <row r="950">
      <c r="H950" s="5"/>
      <c r="O950" s="5"/>
      <c r="V950" s="5"/>
      <c r="X950" s="28"/>
      <c r="Y950" s="26"/>
      <c r="Z950" s="26"/>
      <c r="AA950" s="26"/>
      <c r="AB950" s="26"/>
      <c r="AC950" s="26"/>
      <c r="AD950" s="26"/>
    </row>
    <row r="951">
      <c r="H951" s="5"/>
      <c r="O951" s="5"/>
      <c r="V951" s="5"/>
      <c r="X951" s="29"/>
      <c r="Y951" s="26"/>
      <c r="Z951" s="26"/>
      <c r="AA951" s="26"/>
      <c r="AB951" s="26"/>
      <c r="AC951" s="26"/>
      <c r="AD951" s="26"/>
    </row>
    <row r="952">
      <c r="H952" s="5"/>
      <c r="O952" s="5"/>
      <c r="V952" s="5"/>
      <c r="X952" s="28"/>
      <c r="Y952" s="26"/>
      <c r="Z952" s="26"/>
      <c r="AA952" s="26"/>
      <c r="AB952" s="26"/>
      <c r="AC952" s="26"/>
      <c r="AD952" s="26"/>
    </row>
    <row r="953">
      <c r="H953" s="5"/>
      <c r="O953" s="5"/>
      <c r="V953" s="5"/>
      <c r="X953" s="29"/>
      <c r="Y953" s="26"/>
      <c r="Z953" s="26"/>
      <c r="AA953" s="26"/>
      <c r="AB953" s="26"/>
      <c r="AC953" s="26"/>
      <c r="AD953" s="26"/>
    </row>
    <row r="954">
      <c r="H954" s="5"/>
      <c r="O954" s="5"/>
      <c r="V954" s="5"/>
      <c r="X954" s="28"/>
      <c r="Y954" s="26"/>
      <c r="Z954" s="26"/>
      <c r="AA954" s="26"/>
      <c r="AB954" s="26"/>
      <c r="AC954" s="26"/>
      <c r="AD954" s="26"/>
    </row>
    <row r="955">
      <c r="H955" s="5"/>
      <c r="O955" s="5"/>
      <c r="V955" s="5"/>
      <c r="X955" s="29"/>
      <c r="Y955" s="26"/>
      <c r="Z955" s="26"/>
      <c r="AA955" s="26"/>
      <c r="AB955" s="26"/>
      <c r="AC955" s="26"/>
      <c r="AD955" s="26"/>
    </row>
    <row r="956">
      <c r="H956" s="5"/>
      <c r="O956" s="5"/>
      <c r="V956" s="5"/>
      <c r="X956" s="28"/>
      <c r="Y956" s="26"/>
      <c r="Z956" s="26"/>
      <c r="AA956" s="26"/>
      <c r="AB956" s="26"/>
      <c r="AC956" s="26"/>
      <c r="AD956" s="26"/>
    </row>
    <row r="957">
      <c r="H957" s="5"/>
      <c r="O957" s="5"/>
      <c r="V957" s="5"/>
      <c r="X957" s="29"/>
      <c r="Y957" s="26"/>
      <c r="Z957" s="26"/>
      <c r="AA957" s="26"/>
      <c r="AB957" s="26"/>
      <c r="AC957" s="26"/>
      <c r="AD957" s="26"/>
    </row>
    <row r="958">
      <c r="H958" s="5"/>
      <c r="O958" s="5"/>
      <c r="V958" s="5"/>
      <c r="X958" s="28"/>
      <c r="Y958" s="26"/>
      <c r="Z958" s="26"/>
      <c r="AA958" s="26"/>
      <c r="AB958" s="26"/>
      <c r="AC958" s="26"/>
      <c r="AD958" s="26"/>
    </row>
    <row r="959">
      <c r="H959" s="5"/>
      <c r="O959" s="5"/>
      <c r="V959" s="5"/>
      <c r="X959" s="29"/>
      <c r="Y959" s="26"/>
      <c r="Z959" s="26"/>
      <c r="AA959" s="26"/>
      <c r="AB959" s="26"/>
      <c r="AC959" s="26"/>
      <c r="AD959" s="26"/>
    </row>
    <row r="960">
      <c r="H960" s="5"/>
      <c r="O960" s="5"/>
      <c r="V960" s="5"/>
      <c r="X960" s="28"/>
      <c r="Y960" s="26"/>
      <c r="Z960" s="26"/>
      <c r="AA960" s="26"/>
      <c r="AB960" s="26"/>
      <c r="AC960" s="26"/>
      <c r="AD960" s="26"/>
    </row>
    <row r="961">
      <c r="H961" s="5"/>
      <c r="O961" s="5"/>
      <c r="V961" s="5"/>
      <c r="X961" s="29"/>
      <c r="Y961" s="26"/>
      <c r="Z961" s="26"/>
      <c r="AA961" s="26"/>
      <c r="AB961" s="26"/>
      <c r="AC961" s="26"/>
      <c r="AD961" s="26"/>
    </row>
    <row r="962">
      <c r="H962" s="5"/>
      <c r="O962" s="5"/>
      <c r="V962" s="5"/>
      <c r="X962" s="28"/>
      <c r="Y962" s="26"/>
      <c r="Z962" s="26"/>
      <c r="AA962" s="26"/>
      <c r="AB962" s="26"/>
      <c r="AC962" s="26"/>
      <c r="AD962" s="26"/>
    </row>
    <row r="963">
      <c r="H963" s="5"/>
      <c r="O963" s="5"/>
      <c r="V963" s="5"/>
      <c r="X963" s="29"/>
      <c r="Y963" s="26"/>
      <c r="Z963" s="26"/>
      <c r="AA963" s="26"/>
      <c r="AB963" s="26"/>
      <c r="AC963" s="26"/>
      <c r="AD963" s="26"/>
    </row>
    <row r="964">
      <c r="H964" s="5"/>
      <c r="O964" s="5"/>
      <c r="V964" s="5"/>
      <c r="X964" s="28"/>
      <c r="Y964" s="26"/>
      <c r="Z964" s="26"/>
      <c r="AA964" s="26"/>
      <c r="AB964" s="26"/>
      <c r="AC964" s="26"/>
      <c r="AD964" s="26"/>
    </row>
    <row r="965">
      <c r="H965" s="5"/>
      <c r="O965" s="5"/>
      <c r="V965" s="5"/>
      <c r="X965" s="29"/>
      <c r="Y965" s="26"/>
      <c r="Z965" s="26"/>
      <c r="AA965" s="26"/>
      <c r="AB965" s="26"/>
      <c r="AC965" s="26"/>
      <c r="AD965" s="26"/>
    </row>
    <row r="966">
      <c r="H966" s="5"/>
      <c r="O966" s="5"/>
      <c r="V966" s="5"/>
      <c r="X966" s="28"/>
      <c r="Y966" s="26"/>
      <c r="Z966" s="26"/>
      <c r="AA966" s="26"/>
      <c r="AB966" s="26"/>
      <c r="AC966" s="26"/>
      <c r="AD966" s="26"/>
    </row>
    <row r="967">
      <c r="H967" s="5"/>
      <c r="O967" s="5"/>
      <c r="V967" s="5"/>
      <c r="X967" s="29"/>
      <c r="Y967" s="26"/>
      <c r="Z967" s="26"/>
      <c r="AA967" s="26"/>
      <c r="AB967" s="26"/>
      <c r="AC967" s="26"/>
      <c r="AD967" s="26"/>
    </row>
    <row r="968">
      <c r="H968" s="5"/>
      <c r="O968" s="5"/>
      <c r="V968" s="5"/>
      <c r="X968" s="28"/>
      <c r="Y968" s="26"/>
      <c r="Z968" s="26"/>
      <c r="AA968" s="26"/>
      <c r="AB968" s="26"/>
      <c r="AC968" s="26"/>
      <c r="AD968" s="26"/>
    </row>
    <row r="969">
      <c r="H969" s="5"/>
      <c r="O969" s="5"/>
      <c r="V969" s="5"/>
      <c r="X969" s="29"/>
      <c r="Y969" s="26"/>
      <c r="Z969" s="26"/>
      <c r="AA969" s="26"/>
      <c r="AB969" s="26"/>
      <c r="AC969" s="26"/>
      <c r="AD969" s="26"/>
    </row>
    <row r="970">
      <c r="H970" s="5"/>
      <c r="O970" s="5"/>
      <c r="V970" s="5"/>
      <c r="X970" s="28"/>
      <c r="Y970" s="26"/>
      <c r="Z970" s="26"/>
      <c r="AA970" s="26"/>
      <c r="AB970" s="26"/>
      <c r="AC970" s="26"/>
      <c r="AD970" s="26"/>
    </row>
    <row r="971">
      <c r="H971" s="5"/>
      <c r="O971" s="5"/>
      <c r="V971" s="5"/>
      <c r="X971" s="29"/>
      <c r="Y971" s="26"/>
      <c r="Z971" s="26"/>
      <c r="AA971" s="26"/>
      <c r="AB971" s="26"/>
      <c r="AC971" s="26"/>
      <c r="AD971" s="26"/>
    </row>
    <row r="972">
      <c r="H972" s="5"/>
      <c r="O972" s="5"/>
      <c r="V972" s="5"/>
      <c r="X972" s="28"/>
      <c r="Y972" s="26"/>
      <c r="Z972" s="26"/>
      <c r="AA972" s="26"/>
      <c r="AB972" s="26"/>
      <c r="AC972" s="26"/>
      <c r="AD972" s="26"/>
    </row>
    <row r="973">
      <c r="H973" s="5"/>
      <c r="O973" s="5"/>
      <c r="V973" s="5"/>
      <c r="X973" s="29"/>
      <c r="Y973" s="26"/>
      <c r="Z973" s="26"/>
      <c r="AA973" s="26"/>
      <c r="AB973" s="26"/>
      <c r="AC973" s="26"/>
      <c r="AD973" s="26"/>
    </row>
    <row r="974">
      <c r="H974" s="5"/>
      <c r="O974" s="5"/>
      <c r="V974" s="5"/>
      <c r="X974" s="28"/>
      <c r="Y974" s="26"/>
      <c r="Z974" s="26"/>
      <c r="AA974" s="26"/>
      <c r="AB974" s="26"/>
      <c r="AC974" s="26"/>
      <c r="AD974" s="26"/>
    </row>
    <row r="975">
      <c r="H975" s="5"/>
      <c r="O975" s="5"/>
      <c r="V975" s="5"/>
      <c r="X975" s="29"/>
      <c r="Y975" s="26"/>
      <c r="Z975" s="26"/>
      <c r="AA975" s="26"/>
      <c r="AB975" s="26"/>
      <c r="AC975" s="26"/>
      <c r="AD975" s="26"/>
    </row>
    <row r="976">
      <c r="H976" s="5"/>
      <c r="O976" s="5"/>
      <c r="V976" s="5"/>
      <c r="X976" s="28"/>
      <c r="Y976" s="26"/>
      <c r="Z976" s="26"/>
      <c r="AA976" s="26"/>
      <c r="AB976" s="26"/>
      <c r="AC976" s="26"/>
      <c r="AD976" s="26"/>
    </row>
    <row r="977">
      <c r="H977" s="5"/>
      <c r="O977" s="5"/>
      <c r="V977" s="5"/>
      <c r="X977" s="29"/>
      <c r="Y977" s="26"/>
      <c r="Z977" s="26"/>
      <c r="AA977" s="26"/>
      <c r="AB977" s="26"/>
      <c r="AC977" s="26"/>
      <c r="AD977" s="26"/>
    </row>
    <row r="978">
      <c r="H978" s="5"/>
      <c r="O978" s="5"/>
      <c r="V978" s="5"/>
      <c r="X978" s="28"/>
      <c r="Y978" s="26"/>
      <c r="Z978" s="26"/>
      <c r="AA978" s="26"/>
      <c r="AB978" s="26"/>
      <c r="AC978" s="26"/>
      <c r="AD978" s="26"/>
    </row>
    <row r="979">
      <c r="H979" s="5"/>
      <c r="O979" s="5"/>
      <c r="V979" s="5"/>
      <c r="X979" s="29"/>
      <c r="Y979" s="26"/>
      <c r="Z979" s="26"/>
      <c r="AA979" s="26"/>
      <c r="AB979" s="26"/>
      <c r="AC979" s="26"/>
      <c r="AD979" s="26"/>
    </row>
    <row r="980">
      <c r="H980" s="5"/>
      <c r="O980" s="5"/>
      <c r="V980" s="5"/>
      <c r="X980" s="28"/>
      <c r="Y980" s="26"/>
      <c r="Z980" s="26"/>
      <c r="AA980" s="26"/>
      <c r="AB980" s="26"/>
      <c r="AC980" s="26"/>
      <c r="AD980" s="26"/>
    </row>
    <row r="981">
      <c r="H981" s="5"/>
      <c r="O981" s="5"/>
      <c r="V981" s="5"/>
      <c r="X981" s="29"/>
      <c r="Y981" s="26"/>
      <c r="Z981" s="26"/>
      <c r="AA981" s="26"/>
      <c r="AB981" s="26"/>
      <c r="AC981" s="26"/>
      <c r="AD981" s="26"/>
    </row>
    <row r="982">
      <c r="H982" s="5"/>
      <c r="O982" s="5"/>
      <c r="V982" s="5"/>
      <c r="X982" s="28"/>
      <c r="Y982" s="26"/>
      <c r="Z982" s="26"/>
      <c r="AA982" s="26"/>
      <c r="AB982" s="26"/>
      <c r="AC982" s="26"/>
      <c r="AD982" s="26"/>
    </row>
    <row r="983">
      <c r="H983" s="5"/>
      <c r="O983" s="5"/>
      <c r="V983" s="5"/>
      <c r="X983" s="29"/>
      <c r="Y983" s="26"/>
      <c r="Z983" s="26"/>
      <c r="AA983" s="26"/>
      <c r="AB983" s="26"/>
      <c r="AC983" s="26"/>
      <c r="AD983" s="26"/>
    </row>
    <row r="984">
      <c r="H984" s="5"/>
      <c r="O984" s="5"/>
      <c r="V984" s="5"/>
      <c r="X984" s="28"/>
      <c r="Y984" s="26"/>
      <c r="Z984" s="26"/>
      <c r="AA984" s="26"/>
      <c r="AB984" s="26"/>
      <c r="AC984" s="26"/>
      <c r="AD984" s="26"/>
    </row>
    <row r="985">
      <c r="H985" s="5"/>
      <c r="O985" s="5"/>
      <c r="V985" s="5"/>
      <c r="X985" s="29"/>
      <c r="Y985" s="26"/>
      <c r="Z985" s="26"/>
      <c r="AA985" s="26"/>
      <c r="AB985" s="26"/>
      <c r="AC985" s="26"/>
      <c r="AD985" s="26"/>
    </row>
    <row r="986">
      <c r="H986" s="5"/>
      <c r="O986" s="5"/>
      <c r="V986" s="5"/>
      <c r="X986" s="28"/>
      <c r="Y986" s="26"/>
      <c r="Z986" s="26"/>
      <c r="AA986" s="26"/>
      <c r="AB986" s="26"/>
      <c r="AC986" s="26"/>
      <c r="AD986" s="26"/>
    </row>
    <row r="987">
      <c r="H987" s="5"/>
      <c r="O987" s="5"/>
      <c r="V987" s="5"/>
      <c r="X987" s="29"/>
      <c r="Y987" s="26"/>
      <c r="Z987" s="26"/>
      <c r="AA987" s="26"/>
      <c r="AB987" s="26"/>
      <c r="AC987" s="26"/>
      <c r="AD987" s="26"/>
    </row>
    <row r="988">
      <c r="H988" s="5"/>
      <c r="O988" s="5"/>
      <c r="V988" s="5"/>
      <c r="X988" s="28"/>
      <c r="Y988" s="26"/>
      <c r="Z988" s="26"/>
      <c r="AA988" s="26"/>
      <c r="AB988" s="26"/>
      <c r="AC988" s="26"/>
      <c r="AD988" s="26"/>
    </row>
    <row r="989">
      <c r="H989" s="5"/>
      <c r="O989" s="5"/>
      <c r="V989" s="5"/>
      <c r="X989" s="29"/>
      <c r="Y989" s="26"/>
      <c r="Z989" s="26"/>
      <c r="AA989" s="26"/>
      <c r="AB989" s="26"/>
      <c r="AC989" s="26"/>
      <c r="AD989" s="26"/>
    </row>
    <row r="990">
      <c r="H990" s="5"/>
      <c r="O990" s="5"/>
      <c r="V990" s="5"/>
      <c r="X990" s="28"/>
      <c r="Y990" s="26"/>
      <c r="Z990" s="26"/>
      <c r="AA990" s="26"/>
      <c r="AB990" s="26"/>
      <c r="AC990" s="26"/>
      <c r="AD990" s="26"/>
    </row>
    <row r="991">
      <c r="H991" s="5"/>
      <c r="O991" s="5"/>
      <c r="V991" s="5"/>
      <c r="X991" s="29"/>
      <c r="Y991" s="26"/>
      <c r="Z991" s="26"/>
      <c r="AA991" s="26"/>
      <c r="AB991" s="26"/>
      <c r="AC991" s="26"/>
      <c r="AD991" s="26"/>
    </row>
    <row r="992">
      <c r="H992" s="5"/>
      <c r="O992" s="5"/>
      <c r="V992" s="5"/>
      <c r="X992" s="28"/>
      <c r="Y992" s="26"/>
      <c r="Z992" s="26"/>
      <c r="AA992" s="26"/>
      <c r="AB992" s="26"/>
      <c r="AC992" s="26"/>
      <c r="AD992" s="26"/>
    </row>
    <row r="993">
      <c r="H993" s="5"/>
      <c r="O993" s="5"/>
      <c r="V993" s="5"/>
      <c r="X993" s="29"/>
      <c r="Y993" s="26"/>
      <c r="Z993" s="26"/>
      <c r="AA993" s="26"/>
      <c r="AB993" s="26"/>
      <c r="AC993" s="26"/>
      <c r="AD993" s="26"/>
    </row>
    <row r="994">
      <c r="H994" s="5"/>
      <c r="O994" s="5"/>
      <c r="V994" s="5"/>
      <c r="X994" s="28"/>
      <c r="Y994" s="26"/>
      <c r="Z994" s="26"/>
      <c r="AA994" s="26"/>
      <c r="AB994" s="26"/>
      <c r="AC994" s="26"/>
      <c r="AD994" s="26"/>
    </row>
    <row r="995">
      <c r="H995" s="5"/>
      <c r="O995" s="5"/>
      <c r="V995" s="5"/>
      <c r="X995" s="29"/>
      <c r="Y995" s="26"/>
      <c r="Z995" s="26"/>
      <c r="AA995" s="26"/>
      <c r="AB995" s="26"/>
      <c r="AC995" s="26"/>
      <c r="AD995" s="26"/>
    </row>
    <row r="996">
      <c r="H996" s="5"/>
      <c r="O996" s="5"/>
      <c r="V996" s="5"/>
      <c r="X996" s="28"/>
      <c r="Y996" s="26"/>
      <c r="Z996" s="26"/>
      <c r="AA996" s="26"/>
      <c r="AB996" s="26"/>
      <c r="AC996" s="26"/>
      <c r="AD996" s="26"/>
    </row>
    <row r="997">
      <c r="H997" s="5"/>
      <c r="O997" s="5"/>
      <c r="V997" s="5"/>
      <c r="X997" s="29"/>
      <c r="Y997" s="26"/>
      <c r="Z997" s="26"/>
      <c r="AA997" s="26"/>
      <c r="AB997" s="26"/>
      <c r="AC997" s="26"/>
      <c r="AD997" s="26"/>
    </row>
    <row r="998">
      <c r="H998" s="5"/>
      <c r="O998" s="5"/>
      <c r="V998" s="5"/>
      <c r="X998" s="28"/>
      <c r="Y998" s="26"/>
      <c r="Z998" s="26"/>
      <c r="AA998" s="26"/>
      <c r="AB998" s="26"/>
      <c r="AC998" s="26"/>
      <c r="AD998" s="26"/>
    </row>
    <row r="999">
      <c r="H999" s="5"/>
      <c r="O999" s="5"/>
      <c r="V999" s="5"/>
      <c r="X999" s="29"/>
      <c r="Y999" s="26"/>
      <c r="Z999" s="26"/>
      <c r="AA999" s="26"/>
      <c r="AB999" s="26"/>
      <c r="AC999" s="26"/>
      <c r="AD999" s="26"/>
    </row>
    <row r="1000">
      <c r="H1000" s="5"/>
      <c r="O1000" s="5"/>
      <c r="V1000" s="5"/>
      <c r="X1000" s="28"/>
      <c r="Y1000" s="26"/>
      <c r="Z1000" s="26"/>
      <c r="AA1000" s="26"/>
      <c r="AB1000" s="26"/>
      <c r="AC1000" s="26"/>
      <c r="AD1000" s="26"/>
    </row>
  </sheetData>
  <mergeCells count="2">
    <mergeCell ref="A2:V3"/>
    <mergeCell ref="Z2:AD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37.63"/>
  </cols>
  <sheetData>
    <row r="1">
      <c r="E1" s="5"/>
      <c r="F1" s="5"/>
      <c r="G1" s="5"/>
      <c r="I1" s="5"/>
      <c r="J1" s="5"/>
      <c r="K1" s="5"/>
      <c r="L1" s="5"/>
      <c r="M1" s="5"/>
      <c r="N1" s="5"/>
      <c r="O1" s="5"/>
      <c r="P1" s="5"/>
      <c r="Q1" s="5"/>
      <c r="R1" s="5"/>
      <c r="T1" s="9"/>
      <c r="W1" s="5"/>
      <c r="AB1" s="5"/>
      <c r="AC1" s="5"/>
      <c r="AH1" s="5"/>
      <c r="AI1" s="5"/>
    </row>
    <row r="2">
      <c r="B2" s="33" t="s">
        <v>100</v>
      </c>
      <c r="T2" s="9"/>
      <c r="V2" s="34" t="s">
        <v>101</v>
      </c>
      <c r="AB2" s="34" t="s">
        <v>102</v>
      </c>
      <c r="AH2" s="34" t="s">
        <v>103</v>
      </c>
    </row>
    <row r="3">
      <c r="E3" s="5"/>
      <c r="F3" s="5"/>
      <c r="G3" s="5"/>
      <c r="I3" s="5"/>
      <c r="J3" s="5"/>
      <c r="K3" s="5"/>
      <c r="L3" s="5"/>
      <c r="M3" s="5"/>
      <c r="N3" s="5"/>
      <c r="O3" s="5"/>
      <c r="P3" s="5"/>
      <c r="Q3" s="5"/>
      <c r="R3" s="5"/>
      <c r="T3" s="9"/>
    </row>
    <row r="4">
      <c r="B4" s="35" t="s">
        <v>104</v>
      </c>
      <c r="C4" s="36"/>
      <c r="E4" s="35" t="s">
        <v>105</v>
      </c>
      <c r="F4" s="36"/>
      <c r="G4" s="36"/>
      <c r="I4" s="35" t="s">
        <v>106</v>
      </c>
      <c r="J4" s="36"/>
      <c r="K4" s="36"/>
      <c r="L4" s="36"/>
      <c r="M4" s="36"/>
      <c r="N4" s="36"/>
      <c r="O4" s="36"/>
      <c r="P4" s="36"/>
      <c r="Q4" s="36"/>
      <c r="R4" s="36"/>
      <c r="T4" s="9"/>
      <c r="W4" s="5"/>
      <c r="AB4" s="5"/>
      <c r="AC4" s="5"/>
      <c r="AH4" s="5"/>
      <c r="AI4" s="5"/>
    </row>
    <row r="5">
      <c r="B5" s="37" t="s">
        <v>107</v>
      </c>
      <c r="C5" s="37" t="s">
        <v>108</v>
      </c>
      <c r="E5" s="37" t="s">
        <v>109</v>
      </c>
      <c r="F5" s="37" t="s">
        <v>11</v>
      </c>
      <c r="G5" s="37" t="s">
        <v>108</v>
      </c>
      <c r="I5" s="37" t="str">
        <f>"Tennis: " &amp; SUM(J6:J40)</f>
        <v>#N/A</v>
      </c>
      <c r="J5" s="38"/>
      <c r="K5" s="37" t="str">
        <f>"Badminton: " &amp; SUM(L6:L40)</f>
        <v>#N/A</v>
      </c>
      <c r="L5" s="38"/>
      <c r="M5" s="37" t="str">
        <f>"Squash: " &amp; SUM(N6:N40)</f>
        <v>#N/A</v>
      </c>
      <c r="N5" s="38"/>
      <c r="O5" s="37" t="str">
        <f>"Table Tennis: " &amp; SUM(P6:P40)</f>
        <v>#N/A</v>
      </c>
      <c r="P5" s="38"/>
      <c r="Q5" s="37" t="str">
        <f>"Other: " &amp; SUM(R6:R40)</f>
        <v>Other: 0</v>
      </c>
      <c r="R5" s="38"/>
      <c r="S5" s="11"/>
      <c r="T5" s="9"/>
      <c r="U5" s="11"/>
      <c r="V5" s="11" t="str">
        <f t="array" ref="V5:V16">SORT(B6:B17, C6:C17, false)</f>
        <v>Team 1</v>
      </c>
      <c r="W5" s="3">
        <f t="array" ref="W5:W16">SORT(C6:C17, C6:C17, false)</f>
        <v>0</v>
      </c>
      <c r="X5" s="11" t="s">
        <v>110</v>
      </c>
      <c r="AA5" s="11"/>
      <c r="AB5" s="11" t="str">
        <f>IFERROR(__xludf.DUMMYFUNCTION("SORTN(E6:E200, 5, 1, G6:G200, false)"),"T1P1")</f>
        <v>T1P1</v>
      </c>
      <c r="AC5" s="11">
        <f>IFERROR(__xludf.DUMMYFUNCTION("SORTN(G6:G200, 5, 1, G6:G200, false)"),0.0)</f>
        <v>0</v>
      </c>
      <c r="AD5" s="11" t="s">
        <v>110</v>
      </c>
      <c r="AG5" s="11"/>
      <c r="AH5" s="11" t="str">
        <f t="array" ref="AH5:AH9">SORT(I47:I51, J47:J51, false)</f>
        <v>Tennis</v>
      </c>
      <c r="AI5" s="11" t="str">
        <f t="array" ref="AI5:AI9">SORT(J47:J51, J47:J51, false)</f>
        <v>#N/A</v>
      </c>
      <c r="AJ5" s="11" t="s">
        <v>110</v>
      </c>
      <c r="AM5" s="11"/>
    </row>
    <row r="6">
      <c r="B6" s="5" t="str">
        <f>Teams!B5</f>
        <v>Team 1</v>
      </c>
      <c r="C6" s="5">
        <f>Box_A!Z7</f>
        <v>0</v>
      </c>
      <c r="E6" s="5" t="str">
        <f>Teams!C5</f>
        <v>T1P1</v>
      </c>
      <c r="F6" s="5" t="str">
        <f t="array" ref="F6">IFERROR(XLOOKUP(E6, SignupNames, SignupClubs), "Not Found")</f>
        <v>Not Found</v>
      </c>
      <c r="G6" s="5">
        <f>Box_A!AB6</f>
        <v>0</v>
      </c>
      <c r="I6" s="3" t="str">
        <f>IFERROR(__xludf.DUMMYFUNCTION("FILTER(E6:E200, F6:F200 = ""Tennis"")"),"#N/A")</f>
        <v>#N/A</v>
      </c>
      <c r="J6" s="3" t="str">
        <f>IFERROR(__xludf.DUMMYFUNCTION("FILTER(G6:G200, F6:F200 = ""Tennis"")"),"#N/A")</f>
        <v>#N/A</v>
      </c>
      <c r="K6" s="3" t="str">
        <f>IFERROR(__xludf.DUMMYFUNCTION("FILTER(E6:E200, F6:F200 = ""Badminton"")"),"#N/A")</f>
        <v>#N/A</v>
      </c>
      <c r="L6" s="3" t="str">
        <f>IFERROR(__xludf.DUMMYFUNCTION("FILTER(G6:G200, F6:F200 = ""Badminton"")"),"#N/A")</f>
        <v>#N/A</v>
      </c>
      <c r="M6" s="3" t="str">
        <f>IFERROR(__xludf.DUMMYFUNCTION("FILTER(E6:E200, F6:F200 = ""Squash"")"),"#N/A")</f>
        <v>#N/A</v>
      </c>
      <c r="N6" s="3" t="str">
        <f>IFERROR(__xludf.DUMMYFUNCTION("FILTER(G6:G200, F6:F200 = ""Squash"")"),"#N/A")</f>
        <v>#N/A</v>
      </c>
      <c r="O6" s="3" t="str">
        <f>IFERROR(__xludf.DUMMYFUNCTION("FILTER(E6:E200, F6:F200 = ""Table Tennis"")"),"#N/A")</f>
        <v>#N/A</v>
      </c>
      <c r="P6" s="3" t="str">
        <f>IFERROR(__xludf.DUMMYFUNCTION("FILTER(G6:G200, F6:F200 = ""Table Tennis"")"),"#N/A")</f>
        <v>#N/A</v>
      </c>
      <c r="Q6" s="3"/>
      <c r="R6" s="3"/>
      <c r="S6" s="3"/>
      <c r="T6" s="9"/>
      <c r="U6" s="3"/>
      <c r="V6" s="11" t="s">
        <v>35</v>
      </c>
      <c r="W6" s="3">
        <v>0.0</v>
      </c>
      <c r="X6" s="3" t="s">
        <v>111</v>
      </c>
      <c r="AA6" s="3"/>
      <c r="AB6" s="3" t="str">
        <f>IFERROR(__xludf.DUMMYFUNCTION("""COMPUTED_VALUE"""),"T1P2")</f>
        <v>T1P2</v>
      </c>
      <c r="AC6" s="3">
        <f>IFERROR(__xludf.DUMMYFUNCTION("""COMPUTED_VALUE"""),0.0)</f>
        <v>0</v>
      </c>
      <c r="AD6" s="3" t="s">
        <v>112</v>
      </c>
      <c r="AG6" s="3"/>
      <c r="AH6" s="3" t="s">
        <v>24</v>
      </c>
      <c r="AI6" s="3" t="e">
        <v>#N/A</v>
      </c>
      <c r="AJ6" s="3" t="s">
        <v>113</v>
      </c>
      <c r="AM6" s="3"/>
    </row>
    <row r="7">
      <c r="B7" s="5" t="str">
        <f>Teams!B6</f>
        <v>Team 2</v>
      </c>
      <c r="C7" s="5">
        <f>Box_A!Z12</f>
        <v>0</v>
      </c>
      <c r="E7" s="5" t="str">
        <f>Teams!D5</f>
        <v>T1P2</v>
      </c>
      <c r="F7" s="5" t="str">
        <f t="array" ref="F7">IFERROR(XLOOKUP(E7, SignupNames, SignupClubs), "Not Found")</f>
        <v>Not Found</v>
      </c>
      <c r="G7" s="5">
        <f>Box_A!AB7</f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T7" s="9"/>
      <c r="V7" s="21" t="s">
        <v>40</v>
      </c>
      <c r="W7" s="5">
        <v>0.0</v>
      </c>
      <c r="X7" s="11" t="s">
        <v>114</v>
      </c>
      <c r="AB7" s="5" t="str">
        <f>IFERROR(__xludf.DUMMYFUNCTION("""COMPUTED_VALUE"""),"T1P3")</f>
        <v>T1P3</v>
      </c>
      <c r="AC7" s="5">
        <f>IFERROR(__xludf.DUMMYFUNCTION("""COMPUTED_VALUE"""),0.0)</f>
        <v>0</v>
      </c>
      <c r="AD7" s="11" t="s">
        <v>114</v>
      </c>
      <c r="AH7" s="5" t="s">
        <v>21</v>
      </c>
      <c r="AI7" s="5" t="e">
        <v>#N/A</v>
      </c>
      <c r="AJ7" s="11" t="s">
        <v>114</v>
      </c>
    </row>
    <row r="8">
      <c r="B8" s="5" t="str">
        <f>Teams!B7</f>
        <v>Team 3</v>
      </c>
      <c r="C8" s="5">
        <f>Box_A!Z17</f>
        <v>0</v>
      </c>
      <c r="E8" s="5" t="str">
        <f>Teams!E5</f>
        <v>T1P3</v>
      </c>
      <c r="F8" s="5" t="str">
        <f t="array" ref="F8">IFERROR(XLOOKUP(E8, SignupNames, SignupClubs), "Not Found")</f>
        <v>Not Found</v>
      </c>
      <c r="G8" s="5">
        <f>Box_A!AB8</f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T8" s="9"/>
      <c r="V8" s="5" t="s">
        <v>45</v>
      </c>
      <c r="W8" s="5">
        <v>0.0</v>
      </c>
      <c r="AB8" s="5" t="str">
        <f>IFERROR(__xludf.DUMMYFUNCTION("""COMPUTED_VALUE"""),"T1P4")</f>
        <v>T1P4</v>
      </c>
      <c r="AC8" s="5">
        <f>IFERROR(__xludf.DUMMYFUNCTION("""COMPUTED_VALUE"""),0.0)</f>
        <v>0</v>
      </c>
      <c r="AH8" s="5" t="s">
        <v>115</v>
      </c>
      <c r="AI8" s="5" t="e">
        <v>#N/A</v>
      </c>
    </row>
    <row r="9">
      <c r="B9" s="5" t="str">
        <f>Teams!B8</f>
        <v>Team 4</v>
      </c>
      <c r="C9" s="5">
        <f>Box_A!Z22</f>
        <v>0</v>
      </c>
      <c r="E9" s="5" t="str">
        <f>Teams!F5</f>
        <v>T1P4</v>
      </c>
      <c r="F9" s="5" t="str">
        <f t="array" ref="F9">IFERROR(XLOOKUP(E9, SignupNames, SignupClubs), "Not Found")</f>
        <v>Not Found</v>
      </c>
      <c r="G9" s="5">
        <f>Box_A!AB9</f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T9" s="9"/>
      <c r="V9" s="5" t="s">
        <v>51</v>
      </c>
      <c r="W9" s="5">
        <v>0.0</v>
      </c>
      <c r="AB9" s="5" t="str">
        <f>IFERROR(__xludf.DUMMYFUNCTION("""COMPUTED_VALUE"""),"T2P1")</f>
        <v>T2P1</v>
      </c>
      <c r="AC9" s="5">
        <f>IFERROR(__xludf.DUMMYFUNCTION("""COMPUTED_VALUE"""),0.0)</f>
        <v>0</v>
      </c>
      <c r="AH9" s="5" t="s">
        <v>27</v>
      </c>
      <c r="AI9" s="5">
        <v>0.0</v>
      </c>
    </row>
    <row r="10">
      <c r="B10" s="5" t="str">
        <f>Teams!B12</f>
        <v>Team 5</v>
      </c>
      <c r="C10" s="5">
        <f>Box_B!Z7</f>
        <v>0</v>
      </c>
      <c r="E10" s="5" t="str">
        <f>Teams!C6</f>
        <v>T2P1</v>
      </c>
      <c r="F10" s="5" t="str">
        <f t="array" ref="F10">IFERROR(XLOOKUP(E10, SignupNames, SignupClubs), "Not Found")</f>
        <v>Not Found</v>
      </c>
      <c r="G10" s="5">
        <f>Box_A!AB11</f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T10" s="9"/>
      <c r="V10" s="5" t="s">
        <v>56</v>
      </c>
      <c r="W10" s="5">
        <v>0.0</v>
      </c>
      <c r="AB10" s="5" t="str">
        <f>IFERROR(__xludf.DUMMYFUNCTION("""COMPUTED_VALUE"""),"T2P2")</f>
        <v>T2P2</v>
      </c>
      <c r="AC10" s="5">
        <f>IFERROR(__xludf.DUMMYFUNCTION("""COMPUTED_VALUE"""),0.0)</f>
        <v>0</v>
      </c>
      <c r="AH10" s="5"/>
      <c r="AI10" s="5"/>
    </row>
    <row r="11">
      <c r="B11" s="5" t="str">
        <f>Teams!B13</f>
        <v>Team 6</v>
      </c>
      <c r="C11" s="5">
        <f>Box_B!Z12</f>
        <v>0</v>
      </c>
      <c r="E11" s="5" t="str">
        <f>Teams!D6</f>
        <v>T2P2</v>
      </c>
      <c r="F11" s="5" t="str">
        <f t="array" ref="F11">IFERROR(XLOOKUP(E11, SignupNames, SignupClubs), "Not Found")</f>
        <v>Not Found</v>
      </c>
      <c r="G11" s="5">
        <f>Box_A!AB12</f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T11" s="9"/>
      <c r="V11" s="5" t="s">
        <v>61</v>
      </c>
      <c r="W11" s="5">
        <v>0.0</v>
      </c>
      <c r="AB11" s="5" t="str">
        <f>IFERROR(__xludf.DUMMYFUNCTION("""COMPUTED_VALUE"""),"T2P3")</f>
        <v>T2P3</v>
      </c>
      <c r="AC11" s="5">
        <f>IFERROR(__xludf.DUMMYFUNCTION("""COMPUTED_VALUE"""),0.0)</f>
        <v>0</v>
      </c>
      <c r="AH11" s="5"/>
      <c r="AI11" s="5"/>
    </row>
    <row r="12">
      <c r="B12" s="5" t="str">
        <f>Teams!B14</f>
        <v>Team 7</v>
      </c>
      <c r="C12" s="5">
        <f>Box_B!Z17</f>
        <v>0</v>
      </c>
      <c r="E12" s="5" t="str">
        <f>Teams!E6</f>
        <v>T2P3</v>
      </c>
      <c r="F12" s="5" t="str">
        <f t="array" ref="F12">IFERROR(XLOOKUP(E12, SignupNames, SignupClubs), "Not Found")</f>
        <v>Not Found</v>
      </c>
      <c r="G12" s="5">
        <f>Box_A!AB13</f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T12" s="9"/>
      <c r="V12" s="5" t="s">
        <v>66</v>
      </c>
      <c r="W12" s="5">
        <v>0.0</v>
      </c>
      <c r="Z12" s="5"/>
      <c r="AB12" s="5" t="str">
        <f>IFERROR(__xludf.DUMMYFUNCTION("""COMPUTED_VALUE"""),"T2P4")</f>
        <v>T2P4</v>
      </c>
      <c r="AC12" s="5">
        <f>IFERROR(__xludf.DUMMYFUNCTION("""COMPUTED_VALUE"""),0.0)</f>
        <v>0</v>
      </c>
      <c r="AH12" s="5"/>
      <c r="AI12" s="5"/>
    </row>
    <row r="13">
      <c r="B13" s="5" t="str">
        <f>Teams!B15</f>
        <v>Team 8</v>
      </c>
      <c r="C13" s="5">
        <f>Box_B!Z22</f>
        <v>0</v>
      </c>
      <c r="E13" s="5" t="str">
        <f>Teams!F6</f>
        <v>T2P4</v>
      </c>
      <c r="F13" s="5" t="str">
        <f t="array" ref="F13">IFERROR(XLOOKUP(E13, SignupNames, SignupClubs), "Not Found")</f>
        <v>Not Found</v>
      </c>
      <c r="G13" s="5">
        <f>Box_A!AB14</f>
        <v>0</v>
      </c>
      <c r="I13" s="5"/>
      <c r="J13" s="5"/>
      <c r="K13" s="5"/>
      <c r="L13" s="5"/>
      <c r="M13" s="5"/>
      <c r="N13" s="5"/>
      <c r="O13" s="5"/>
      <c r="P13" s="5"/>
      <c r="Q13" s="5"/>
      <c r="R13" s="5"/>
      <c r="T13" s="9"/>
      <c r="V13" s="5" t="s">
        <v>72</v>
      </c>
      <c r="W13" s="5">
        <v>0.0</v>
      </c>
      <c r="AB13" s="5" t="str">
        <f>IFERROR(__xludf.DUMMYFUNCTION("""COMPUTED_VALUE"""),"T3P1")</f>
        <v>T3P1</v>
      </c>
      <c r="AC13" s="5">
        <f>IFERROR(__xludf.DUMMYFUNCTION("""COMPUTED_VALUE"""),0.0)</f>
        <v>0</v>
      </c>
      <c r="AH13" s="5"/>
      <c r="AI13" s="5"/>
    </row>
    <row r="14">
      <c r="B14" s="5" t="str">
        <f>Teams!B19</f>
        <v>Team 9</v>
      </c>
      <c r="C14" s="5">
        <f>Box_C!Z7</f>
        <v>0</v>
      </c>
      <c r="E14" s="5" t="str">
        <f>Teams!C7</f>
        <v>T3P1</v>
      </c>
      <c r="F14" s="5" t="str">
        <f t="array" ref="F14">IFERROR(XLOOKUP(E14, SignupNames, SignupClubs), "Not Found")</f>
        <v>Not Found</v>
      </c>
      <c r="G14" s="5">
        <f>Box_A!AB16</f>
        <v>0</v>
      </c>
      <c r="I14" s="5"/>
      <c r="J14" s="5"/>
      <c r="K14" s="5"/>
      <c r="L14" s="5"/>
      <c r="M14" s="5"/>
      <c r="N14" s="5"/>
      <c r="O14" s="5"/>
      <c r="P14" s="5"/>
      <c r="Q14" s="5"/>
      <c r="R14" s="5"/>
      <c r="T14" s="9"/>
      <c r="V14" s="5" t="s">
        <v>77</v>
      </c>
      <c r="W14" s="5">
        <v>0.0</v>
      </c>
      <c r="AB14" s="5" t="str">
        <f>IFERROR(__xludf.DUMMYFUNCTION("""COMPUTED_VALUE"""),"T3P2")</f>
        <v>T3P2</v>
      </c>
      <c r="AC14" s="5">
        <f>IFERROR(__xludf.DUMMYFUNCTION("""COMPUTED_VALUE"""),0.0)</f>
        <v>0</v>
      </c>
      <c r="AH14" s="5"/>
      <c r="AI14" s="5"/>
    </row>
    <row r="15">
      <c r="B15" s="5" t="str">
        <f>Teams!B20</f>
        <v>Team 10</v>
      </c>
      <c r="C15" s="5">
        <f>Box_C!Z12</f>
        <v>0</v>
      </c>
      <c r="E15" s="5" t="str">
        <f>Teams!D7</f>
        <v>T3P2</v>
      </c>
      <c r="F15" s="5" t="str">
        <f t="array" ref="F15">IFERROR(XLOOKUP(E15, SignupNames, SignupClubs), "Not Found")</f>
        <v>Not Found</v>
      </c>
      <c r="G15" s="5">
        <f>Box_A!AB17</f>
        <v>0</v>
      </c>
      <c r="I15" s="5"/>
      <c r="J15" s="5"/>
      <c r="K15" s="5"/>
      <c r="L15" s="5"/>
      <c r="M15" s="5"/>
      <c r="N15" s="5"/>
      <c r="O15" s="5"/>
      <c r="P15" s="5"/>
      <c r="Q15" s="5"/>
      <c r="R15" s="5"/>
      <c r="T15" s="9"/>
      <c r="V15" s="5" t="s">
        <v>82</v>
      </c>
      <c r="W15" s="5">
        <v>0.0</v>
      </c>
      <c r="AB15" s="5" t="str">
        <f>IFERROR(__xludf.DUMMYFUNCTION("""COMPUTED_VALUE"""),"T3P3")</f>
        <v>T3P3</v>
      </c>
      <c r="AC15" s="5">
        <f>IFERROR(__xludf.DUMMYFUNCTION("""COMPUTED_VALUE"""),0.0)</f>
        <v>0</v>
      </c>
      <c r="AH15" s="5"/>
      <c r="AI15" s="5"/>
    </row>
    <row r="16">
      <c r="B16" s="5" t="str">
        <f>Teams!B21</f>
        <v>Team 11</v>
      </c>
      <c r="C16" s="5">
        <f>Box_C!Z17</f>
        <v>0</v>
      </c>
      <c r="E16" s="5" t="str">
        <f>Teams!E7</f>
        <v>T3P3</v>
      </c>
      <c r="F16" s="5" t="str">
        <f t="array" ref="F16">IFERROR(XLOOKUP(E16, SignupNames, SignupClubs), "Not Found")</f>
        <v>Not Found</v>
      </c>
      <c r="G16" s="5">
        <f>Box_A!AB18</f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T16" s="9"/>
      <c r="V16" s="5" t="s">
        <v>87</v>
      </c>
      <c r="W16" s="5">
        <v>0.0</v>
      </c>
      <c r="AB16" s="5" t="str">
        <f>IFERROR(__xludf.DUMMYFUNCTION("""COMPUTED_VALUE"""),"T3P4")</f>
        <v>T3P4</v>
      </c>
      <c r="AC16" s="5">
        <f>IFERROR(__xludf.DUMMYFUNCTION("""COMPUTED_VALUE"""),0.0)</f>
        <v>0</v>
      </c>
      <c r="AH16" s="5"/>
      <c r="AI16" s="5"/>
    </row>
    <row r="17">
      <c r="B17" s="5" t="str">
        <f>Teams!B22</f>
        <v>Team 12</v>
      </c>
      <c r="C17" s="5">
        <f>Box_C!Z22</f>
        <v>0</v>
      </c>
      <c r="E17" s="5" t="str">
        <f>Teams!F7</f>
        <v>T3P4</v>
      </c>
      <c r="F17" s="5" t="str">
        <f t="array" ref="F17">IFERROR(XLOOKUP(E17, SignupNames, SignupClubs), "Not Found")</f>
        <v>Not Found</v>
      </c>
      <c r="G17" s="5">
        <f>Box_A!AB19</f>
        <v>0</v>
      </c>
      <c r="I17" s="5"/>
      <c r="J17" s="5"/>
      <c r="K17" s="5"/>
      <c r="L17" s="5"/>
      <c r="M17" s="5"/>
      <c r="N17" s="5"/>
      <c r="O17" s="5"/>
      <c r="P17" s="5"/>
      <c r="Q17" s="5"/>
      <c r="R17" s="5"/>
      <c r="T17" s="9"/>
      <c r="W17" s="5"/>
      <c r="AB17" s="5" t="str">
        <f>IFERROR(__xludf.DUMMYFUNCTION("""COMPUTED_VALUE"""),"T4P1")</f>
        <v>T4P1</v>
      </c>
      <c r="AC17" s="5">
        <f>IFERROR(__xludf.DUMMYFUNCTION("""COMPUTED_VALUE"""),0.0)</f>
        <v>0</v>
      </c>
      <c r="AH17" s="5"/>
      <c r="AI17" s="5"/>
    </row>
    <row r="18">
      <c r="E18" s="5" t="str">
        <f>Teams!C8</f>
        <v>T4P1</v>
      </c>
      <c r="F18" s="5" t="str">
        <f t="array" ref="F18">IFERROR(XLOOKUP(E18, SignupNames, SignupClubs), "Not Found")</f>
        <v>Not Found</v>
      </c>
      <c r="G18" s="5">
        <f>Box_A!AB21</f>
        <v>0</v>
      </c>
      <c r="I18" s="5"/>
      <c r="J18" s="5"/>
      <c r="K18" s="5"/>
      <c r="L18" s="5"/>
      <c r="M18" s="5"/>
      <c r="N18" s="5"/>
      <c r="O18" s="5"/>
      <c r="P18" s="5"/>
      <c r="Q18" s="5"/>
      <c r="R18" s="5"/>
      <c r="T18" s="9"/>
      <c r="W18" s="5"/>
      <c r="AB18" s="5" t="str">
        <f>IFERROR(__xludf.DUMMYFUNCTION("""COMPUTED_VALUE"""),"T4P2")</f>
        <v>T4P2</v>
      </c>
      <c r="AC18" s="5">
        <f>IFERROR(__xludf.DUMMYFUNCTION("""COMPUTED_VALUE"""),0.0)</f>
        <v>0</v>
      </c>
      <c r="AH18" s="5"/>
      <c r="AI18" s="5"/>
    </row>
    <row r="19">
      <c r="E19" s="5" t="str">
        <f>Teams!D8</f>
        <v>T4P2</v>
      </c>
      <c r="F19" s="5" t="str">
        <f t="array" ref="F19">IFERROR(XLOOKUP(E19, SignupNames, SignupClubs), "Not Found")</f>
        <v>Not Found</v>
      </c>
      <c r="G19" s="5">
        <f>Box_A!AB22</f>
        <v>0</v>
      </c>
      <c r="I19" s="5"/>
      <c r="J19" s="5"/>
      <c r="K19" s="5"/>
      <c r="L19" s="5"/>
      <c r="M19" s="5"/>
      <c r="N19" s="5"/>
      <c r="O19" s="5"/>
      <c r="P19" s="5"/>
      <c r="Q19" s="5"/>
      <c r="R19" s="5"/>
      <c r="T19" s="9"/>
      <c r="W19" s="5"/>
      <c r="AB19" s="5" t="str">
        <f>IFERROR(__xludf.DUMMYFUNCTION("""COMPUTED_VALUE"""),"T4P3")</f>
        <v>T4P3</v>
      </c>
      <c r="AC19" s="5">
        <f>IFERROR(__xludf.DUMMYFUNCTION("""COMPUTED_VALUE"""),0.0)</f>
        <v>0</v>
      </c>
      <c r="AH19" s="5"/>
      <c r="AI19" s="5"/>
    </row>
    <row r="20">
      <c r="E20" s="5" t="str">
        <f>Teams!E8</f>
        <v>T4P3</v>
      </c>
      <c r="F20" s="5" t="str">
        <f t="array" ref="F20">IFERROR(XLOOKUP(E20, SignupNames, SignupClubs), "Not Found")</f>
        <v>Not Found</v>
      </c>
      <c r="G20" s="5">
        <f>Box_A!AB23</f>
        <v>0</v>
      </c>
      <c r="I20" s="5"/>
      <c r="J20" s="5"/>
      <c r="K20" s="5"/>
      <c r="L20" s="5"/>
      <c r="M20" s="5"/>
      <c r="N20" s="5"/>
      <c r="O20" s="5"/>
      <c r="P20" s="5"/>
      <c r="Q20" s="5"/>
      <c r="R20" s="5"/>
      <c r="T20" s="9"/>
      <c r="W20" s="5"/>
      <c r="AB20" s="5" t="str">
        <f>IFERROR(__xludf.DUMMYFUNCTION("""COMPUTED_VALUE"""),"T4P4")</f>
        <v>T4P4</v>
      </c>
      <c r="AC20" s="5">
        <f>IFERROR(__xludf.DUMMYFUNCTION("""COMPUTED_VALUE"""),0.0)</f>
        <v>0</v>
      </c>
      <c r="AH20" s="5"/>
      <c r="AI20" s="5"/>
    </row>
    <row r="21">
      <c r="E21" s="5" t="str">
        <f>Teams!F8</f>
        <v>T4P4</v>
      </c>
      <c r="F21" s="5" t="str">
        <f t="array" ref="F21">IFERROR(XLOOKUP(E21, SignupNames, SignupClubs), "Not Found")</f>
        <v>Not Found</v>
      </c>
      <c r="G21" s="5">
        <f>Box_A!AB24</f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T21" s="9"/>
      <c r="W21" s="5"/>
      <c r="AB21" s="5" t="str">
        <f>IFERROR(__xludf.DUMMYFUNCTION("""COMPUTED_VALUE"""),"T5P1")</f>
        <v>T5P1</v>
      </c>
      <c r="AC21" s="5">
        <f>IFERROR(__xludf.DUMMYFUNCTION("""COMPUTED_VALUE"""),0.0)</f>
        <v>0</v>
      </c>
      <c r="AH21" s="5"/>
      <c r="AI21" s="5"/>
    </row>
    <row r="22">
      <c r="E22" s="5" t="str">
        <f>Teams!C12</f>
        <v>T5P1</v>
      </c>
      <c r="F22" s="5" t="str">
        <f t="array" ref="F22">IFERROR(XLOOKUP(E22, SignupNames, SignupClubs), "Not Found")</f>
        <v>Not Found</v>
      </c>
      <c r="G22" s="5">
        <f>Box_B!AB6</f>
        <v>0</v>
      </c>
      <c r="I22" s="5"/>
      <c r="J22" s="5"/>
      <c r="K22" s="5"/>
      <c r="L22" s="5"/>
      <c r="M22" s="5"/>
      <c r="N22" s="5"/>
      <c r="O22" s="5"/>
      <c r="P22" s="5"/>
      <c r="Q22" s="5"/>
      <c r="R22" s="5"/>
      <c r="T22" s="9"/>
      <c r="W22" s="5"/>
      <c r="AB22" s="5" t="str">
        <f>IFERROR(__xludf.DUMMYFUNCTION("""COMPUTED_VALUE"""),"T5P2")</f>
        <v>T5P2</v>
      </c>
      <c r="AC22" s="5">
        <f>IFERROR(__xludf.DUMMYFUNCTION("""COMPUTED_VALUE"""),0.0)</f>
        <v>0</v>
      </c>
      <c r="AH22" s="5"/>
      <c r="AI22" s="5"/>
    </row>
    <row r="23">
      <c r="E23" s="5" t="str">
        <f>Teams!D12</f>
        <v>T5P2</v>
      </c>
      <c r="F23" s="5" t="str">
        <f t="array" ref="F23">IFERROR(XLOOKUP(E23, SignupNames, SignupClubs), "Not Found")</f>
        <v>Not Found</v>
      </c>
      <c r="G23" s="5">
        <f>Box_B!AB7</f>
        <v>0</v>
      </c>
      <c r="I23" s="5"/>
      <c r="J23" s="5"/>
      <c r="K23" s="5"/>
      <c r="L23" s="5"/>
      <c r="M23" s="5"/>
      <c r="N23" s="5"/>
      <c r="O23" s="5"/>
      <c r="P23" s="5"/>
      <c r="Q23" s="5"/>
      <c r="R23" s="5"/>
      <c r="T23" s="9"/>
      <c r="W23" s="5"/>
      <c r="AB23" s="5" t="str">
        <f>IFERROR(__xludf.DUMMYFUNCTION("""COMPUTED_VALUE"""),"T5P3")</f>
        <v>T5P3</v>
      </c>
      <c r="AC23" s="5">
        <f>IFERROR(__xludf.DUMMYFUNCTION("""COMPUTED_VALUE"""),0.0)</f>
        <v>0</v>
      </c>
      <c r="AH23" s="5"/>
      <c r="AI23" s="5"/>
    </row>
    <row r="24">
      <c r="E24" s="5" t="str">
        <f>Teams!E12</f>
        <v>T5P3</v>
      </c>
      <c r="F24" s="5" t="str">
        <f t="array" ref="F24">IFERROR(XLOOKUP(E24, SignupNames, SignupClubs), "Not Found")</f>
        <v>Not Found</v>
      </c>
      <c r="G24" s="5">
        <f>Box_B!AB8</f>
        <v>0</v>
      </c>
      <c r="I24" s="5"/>
      <c r="J24" s="5"/>
      <c r="K24" s="5"/>
      <c r="L24" s="5"/>
      <c r="M24" s="5"/>
      <c r="N24" s="5"/>
      <c r="O24" s="5"/>
      <c r="P24" s="5"/>
      <c r="Q24" s="5"/>
      <c r="R24" s="5"/>
      <c r="T24" s="9"/>
      <c r="W24" s="5"/>
      <c r="AB24" s="5" t="str">
        <f>IFERROR(__xludf.DUMMYFUNCTION("""COMPUTED_VALUE"""),"T5P4")</f>
        <v>T5P4</v>
      </c>
      <c r="AC24" s="5">
        <f>IFERROR(__xludf.DUMMYFUNCTION("""COMPUTED_VALUE"""),0.0)</f>
        <v>0</v>
      </c>
      <c r="AH24" s="5"/>
      <c r="AI24" s="5"/>
    </row>
    <row r="25">
      <c r="E25" s="5" t="str">
        <f>Teams!F12</f>
        <v>T5P4</v>
      </c>
      <c r="F25" s="5" t="str">
        <f t="array" ref="F25">IFERROR(XLOOKUP(E25, SignupNames, SignupClubs), "Not Found")</f>
        <v>Not Found</v>
      </c>
      <c r="G25" s="5">
        <f>Box_B!AB9</f>
        <v>0</v>
      </c>
      <c r="I25" s="5"/>
      <c r="J25" s="5"/>
      <c r="K25" s="5"/>
      <c r="L25" s="5"/>
      <c r="M25" s="5"/>
      <c r="N25" s="5"/>
      <c r="O25" s="5"/>
      <c r="P25" s="5"/>
      <c r="Q25" s="5"/>
      <c r="R25" s="5"/>
      <c r="T25" s="9"/>
      <c r="W25" s="5"/>
      <c r="AB25" s="5" t="str">
        <f>IFERROR(__xludf.DUMMYFUNCTION("""COMPUTED_VALUE"""),"T6P1")</f>
        <v>T6P1</v>
      </c>
      <c r="AC25" s="5">
        <f>IFERROR(__xludf.DUMMYFUNCTION("""COMPUTED_VALUE"""),0.0)</f>
        <v>0</v>
      </c>
      <c r="AH25" s="5"/>
      <c r="AI25" s="5"/>
    </row>
    <row r="26">
      <c r="E26" s="5" t="str">
        <f>Teams!C13</f>
        <v>T6P1</v>
      </c>
      <c r="F26" s="5" t="str">
        <f t="array" ref="F26">IFERROR(XLOOKUP(E26, SignupNames, SignupClubs), "Not Found")</f>
        <v>Not Found</v>
      </c>
      <c r="G26" s="5">
        <f>Box_B!AB11</f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T26" s="9"/>
      <c r="W26" s="5"/>
      <c r="AB26" s="5" t="str">
        <f>IFERROR(__xludf.DUMMYFUNCTION("""COMPUTED_VALUE"""),"T6P2")</f>
        <v>T6P2</v>
      </c>
      <c r="AC26" s="5">
        <f>IFERROR(__xludf.DUMMYFUNCTION("""COMPUTED_VALUE"""),0.0)</f>
        <v>0</v>
      </c>
      <c r="AH26" s="5"/>
      <c r="AI26" s="5"/>
    </row>
    <row r="27">
      <c r="E27" s="5" t="str">
        <f>Teams!D13</f>
        <v>T6P2</v>
      </c>
      <c r="F27" s="5" t="str">
        <f t="array" ref="F27">IFERROR(XLOOKUP(E27, SignupNames, SignupClubs), "Not Found")</f>
        <v>Not Found</v>
      </c>
      <c r="G27" s="5">
        <f>Box_B!AB12</f>
        <v>0</v>
      </c>
      <c r="I27" s="5"/>
      <c r="J27" s="5"/>
      <c r="K27" s="5"/>
      <c r="L27" s="5"/>
      <c r="M27" s="5"/>
      <c r="N27" s="5"/>
      <c r="O27" s="5"/>
      <c r="P27" s="5"/>
      <c r="Q27" s="5"/>
      <c r="R27" s="5"/>
      <c r="T27" s="9"/>
      <c r="W27" s="5"/>
      <c r="AB27" s="5" t="str">
        <f>IFERROR(__xludf.DUMMYFUNCTION("""COMPUTED_VALUE"""),"T6P3")</f>
        <v>T6P3</v>
      </c>
      <c r="AC27" s="5">
        <f>IFERROR(__xludf.DUMMYFUNCTION("""COMPUTED_VALUE"""),0.0)</f>
        <v>0</v>
      </c>
      <c r="AH27" s="5"/>
      <c r="AI27" s="5"/>
    </row>
    <row r="28">
      <c r="E28" s="5" t="str">
        <f>Teams!E13</f>
        <v>T6P3</v>
      </c>
      <c r="F28" s="5" t="str">
        <f t="array" ref="F28">IFERROR(XLOOKUP(E28, SignupNames, SignupClubs), "Not Found")</f>
        <v>Not Found</v>
      </c>
      <c r="G28" s="5">
        <f>Box_B!AB13</f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T28" s="9"/>
      <c r="W28" s="5"/>
      <c r="AB28" s="5" t="str">
        <f>IFERROR(__xludf.DUMMYFUNCTION("""COMPUTED_VALUE"""),"T6P4")</f>
        <v>T6P4</v>
      </c>
      <c r="AC28" s="5">
        <f>IFERROR(__xludf.DUMMYFUNCTION("""COMPUTED_VALUE"""),0.0)</f>
        <v>0</v>
      </c>
      <c r="AH28" s="5"/>
      <c r="AI28" s="5"/>
    </row>
    <row r="29">
      <c r="E29" s="5" t="str">
        <f>Teams!F13</f>
        <v>T6P4</v>
      </c>
      <c r="F29" s="5" t="str">
        <f t="array" ref="F29">IFERROR(XLOOKUP(E29, SignupNames, SignupClubs), "Not Found")</f>
        <v>Not Found</v>
      </c>
      <c r="G29" s="5">
        <f>Box_B!AB14</f>
        <v>0</v>
      </c>
      <c r="T29" s="9"/>
      <c r="W29" s="5"/>
      <c r="AB29" s="5" t="str">
        <f>IFERROR(__xludf.DUMMYFUNCTION("""COMPUTED_VALUE"""),"T7P1")</f>
        <v>T7P1</v>
      </c>
      <c r="AC29" s="5">
        <f>IFERROR(__xludf.DUMMYFUNCTION("""COMPUTED_VALUE"""),0.0)</f>
        <v>0</v>
      </c>
      <c r="AH29" s="5"/>
      <c r="AI29" s="5"/>
    </row>
    <row r="30">
      <c r="E30" s="5" t="str">
        <f>Teams!C14</f>
        <v>T7P1</v>
      </c>
      <c r="F30" s="5" t="str">
        <f t="array" ref="F30">IFERROR(XLOOKUP(E30, SignupNames, SignupClubs), "Not Found")</f>
        <v>Not Found</v>
      </c>
      <c r="G30" s="5">
        <f>Box_B!AB16</f>
        <v>0</v>
      </c>
      <c r="T30" s="9"/>
      <c r="W30" s="5"/>
      <c r="AB30" s="5" t="str">
        <f>IFERROR(__xludf.DUMMYFUNCTION("""COMPUTED_VALUE"""),"T7P2")</f>
        <v>T7P2</v>
      </c>
      <c r="AC30" s="5">
        <f>IFERROR(__xludf.DUMMYFUNCTION("""COMPUTED_VALUE"""),0.0)</f>
        <v>0</v>
      </c>
      <c r="AH30" s="5"/>
      <c r="AI30" s="5"/>
    </row>
    <row r="31">
      <c r="E31" s="5" t="str">
        <f>Teams!D14</f>
        <v>T7P2</v>
      </c>
      <c r="F31" s="5" t="str">
        <f t="array" ref="F31">IFERROR(XLOOKUP(E31, SignupNames, SignupClubs), "Not Found")</f>
        <v>Not Found</v>
      </c>
      <c r="G31" s="5">
        <f>Box_B!AB17</f>
        <v>0</v>
      </c>
      <c r="T31" s="9"/>
      <c r="W31" s="5"/>
      <c r="AB31" s="5" t="str">
        <f>IFERROR(__xludf.DUMMYFUNCTION("""COMPUTED_VALUE"""),"T7P3")</f>
        <v>T7P3</v>
      </c>
      <c r="AC31" s="5">
        <f>IFERROR(__xludf.DUMMYFUNCTION("""COMPUTED_VALUE"""),0.0)</f>
        <v>0</v>
      </c>
      <c r="AH31" s="5"/>
      <c r="AI31" s="5"/>
    </row>
    <row r="32">
      <c r="E32" s="5" t="str">
        <f>Teams!E14</f>
        <v>T7P3</v>
      </c>
      <c r="F32" s="5" t="str">
        <f t="array" ref="F32">IFERROR(XLOOKUP(E32, SignupNames, SignupClubs), "Not Found")</f>
        <v>Not Found</v>
      </c>
      <c r="G32" s="5">
        <f>Box_B!AB18</f>
        <v>0</v>
      </c>
      <c r="T32" s="9"/>
      <c r="W32" s="5"/>
      <c r="AB32" s="5" t="str">
        <f>IFERROR(__xludf.DUMMYFUNCTION("""COMPUTED_VALUE"""),"T7P4")</f>
        <v>T7P4</v>
      </c>
      <c r="AC32" s="5">
        <f>IFERROR(__xludf.DUMMYFUNCTION("""COMPUTED_VALUE"""),0.0)</f>
        <v>0</v>
      </c>
      <c r="AH32" s="5"/>
      <c r="AI32" s="5"/>
    </row>
    <row r="33">
      <c r="E33" s="5" t="str">
        <f>Teams!F14</f>
        <v>T7P4</v>
      </c>
      <c r="F33" s="5" t="str">
        <f t="array" ref="F33">IFERROR(XLOOKUP(E33, SignupNames, SignupClubs), "Not Found")</f>
        <v>Not Found</v>
      </c>
      <c r="G33" s="5">
        <f>Box_B!AB19</f>
        <v>0</v>
      </c>
      <c r="T33" s="9"/>
      <c r="W33" s="5"/>
      <c r="AB33" s="5" t="str">
        <f>IFERROR(__xludf.DUMMYFUNCTION("""COMPUTED_VALUE"""),"T8P1")</f>
        <v>T8P1</v>
      </c>
      <c r="AC33" s="5">
        <f>IFERROR(__xludf.DUMMYFUNCTION("""COMPUTED_VALUE"""),0.0)</f>
        <v>0</v>
      </c>
      <c r="AH33" s="5"/>
      <c r="AI33" s="5"/>
    </row>
    <row r="34">
      <c r="E34" s="5" t="str">
        <f>Teams!C15</f>
        <v>T8P1</v>
      </c>
      <c r="F34" s="5" t="str">
        <f t="array" ref="F34">IFERROR(XLOOKUP(E34, SignupNames, SignupClubs), "Not Found")</f>
        <v>Not Found</v>
      </c>
      <c r="G34" s="5">
        <f>Box_B!AB21</f>
        <v>0</v>
      </c>
      <c r="T34" s="9"/>
      <c r="W34" s="5"/>
      <c r="AB34" s="5" t="str">
        <f>IFERROR(__xludf.DUMMYFUNCTION("""COMPUTED_VALUE"""),"T8P2")</f>
        <v>T8P2</v>
      </c>
      <c r="AC34" s="5">
        <f>IFERROR(__xludf.DUMMYFUNCTION("""COMPUTED_VALUE"""),0.0)</f>
        <v>0</v>
      </c>
      <c r="AH34" s="5"/>
      <c r="AI34" s="5"/>
    </row>
    <row r="35">
      <c r="E35" s="5" t="str">
        <f>Teams!D15</f>
        <v>T8P2</v>
      </c>
      <c r="F35" s="5" t="str">
        <f t="array" ref="F35">IFERROR(XLOOKUP(E35, SignupNames, SignupClubs), "Not Found")</f>
        <v>Not Found</v>
      </c>
      <c r="G35" s="5">
        <f>Box_B!AB22</f>
        <v>0</v>
      </c>
      <c r="T35" s="9"/>
      <c r="W35" s="5"/>
      <c r="AB35" s="5" t="str">
        <f>IFERROR(__xludf.DUMMYFUNCTION("""COMPUTED_VALUE"""),"T8P3")</f>
        <v>T8P3</v>
      </c>
      <c r="AC35" s="5">
        <f>IFERROR(__xludf.DUMMYFUNCTION("""COMPUTED_VALUE"""),0.0)</f>
        <v>0</v>
      </c>
      <c r="AH35" s="5"/>
      <c r="AI35" s="5"/>
    </row>
    <row r="36">
      <c r="E36" s="5" t="str">
        <f>Teams!E15</f>
        <v>T8P3</v>
      </c>
      <c r="F36" s="5" t="str">
        <f t="array" ref="F36">IFERROR(XLOOKUP(E36, SignupNames, SignupClubs), "Not Found")</f>
        <v>Not Found</v>
      </c>
      <c r="G36" s="5">
        <f>Box_B!AB23</f>
        <v>0</v>
      </c>
      <c r="T36" s="9"/>
      <c r="W36" s="5"/>
      <c r="AB36" s="5" t="str">
        <f>IFERROR(__xludf.DUMMYFUNCTION("""COMPUTED_VALUE"""),"T8P4")</f>
        <v>T8P4</v>
      </c>
      <c r="AC36" s="5">
        <f>IFERROR(__xludf.DUMMYFUNCTION("""COMPUTED_VALUE"""),0.0)</f>
        <v>0</v>
      </c>
      <c r="AH36" s="5"/>
      <c r="AI36" s="5"/>
    </row>
    <row r="37">
      <c r="E37" s="5" t="str">
        <f>Teams!F15</f>
        <v>T8P4</v>
      </c>
      <c r="F37" s="5" t="str">
        <f t="array" ref="F37">IFERROR(XLOOKUP(E37, SignupNames, SignupClubs), "Not Found")</f>
        <v>Not Found</v>
      </c>
      <c r="G37" s="5">
        <f>Box_B!AB24</f>
        <v>0</v>
      </c>
      <c r="T37" s="9"/>
      <c r="W37" s="5"/>
      <c r="AB37" s="5" t="str">
        <f>IFERROR(__xludf.DUMMYFUNCTION("""COMPUTED_VALUE"""),"T9P1")</f>
        <v>T9P1</v>
      </c>
      <c r="AC37" s="5">
        <f>IFERROR(__xludf.DUMMYFUNCTION("""COMPUTED_VALUE"""),0.0)</f>
        <v>0</v>
      </c>
      <c r="AH37" s="5"/>
      <c r="AI37" s="5"/>
    </row>
    <row r="38">
      <c r="E38" s="5" t="str">
        <f>Teams!C19</f>
        <v>T9P1</v>
      </c>
      <c r="F38" s="5" t="str">
        <f t="array" ref="F38">IFERROR(XLOOKUP(E38, SignupNames, SignupClubs), "Not Found")</f>
        <v>Not Found</v>
      </c>
      <c r="G38" s="5">
        <f>Box_C!AB6</f>
        <v>0</v>
      </c>
      <c r="I38" s="5"/>
      <c r="J38" s="5"/>
      <c r="K38" s="5"/>
      <c r="L38" s="5"/>
      <c r="M38" s="5"/>
      <c r="N38" s="5"/>
      <c r="O38" s="5"/>
      <c r="P38" s="5"/>
      <c r="Q38" s="5"/>
      <c r="R38" s="5"/>
      <c r="T38" s="9"/>
      <c r="W38" s="5"/>
      <c r="AB38" s="5" t="str">
        <f>IFERROR(__xludf.DUMMYFUNCTION("""COMPUTED_VALUE"""),"T9P2")</f>
        <v>T9P2</v>
      </c>
      <c r="AC38" s="5">
        <f>IFERROR(__xludf.DUMMYFUNCTION("""COMPUTED_VALUE"""),0.0)</f>
        <v>0</v>
      </c>
      <c r="AH38" s="5"/>
      <c r="AI38" s="5"/>
    </row>
    <row r="39">
      <c r="E39" s="5" t="str">
        <f>Teams!D19</f>
        <v>T9P2</v>
      </c>
      <c r="F39" s="5" t="str">
        <f t="array" ref="F39">IFERROR(XLOOKUP(E39, SignupNames, SignupClubs), "Not Found")</f>
        <v>Not Found</v>
      </c>
      <c r="G39" s="5">
        <f>Box_C!AB7</f>
        <v>0</v>
      </c>
      <c r="I39" s="3"/>
      <c r="J39" s="5"/>
      <c r="K39" s="5"/>
      <c r="L39" s="5"/>
      <c r="M39" s="5"/>
      <c r="N39" s="5"/>
      <c r="O39" s="5"/>
      <c r="P39" s="5"/>
      <c r="Q39" s="5"/>
      <c r="R39" s="5"/>
      <c r="T39" s="9"/>
      <c r="W39" s="5"/>
      <c r="AB39" s="5" t="str">
        <f>IFERROR(__xludf.DUMMYFUNCTION("""COMPUTED_VALUE"""),"T9P3")</f>
        <v>T9P3</v>
      </c>
      <c r="AC39" s="5">
        <f>IFERROR(__xludf.DUMMYFUNCTION("""COMPUTED_VALUE"""),0.0)</f>
        <v>0</v>
      </c>
      <c r="AH39" s="5"/>
      <c r="AI39" s="5"/>
    </row>
    <row r="40">
      <c r="E40" s="5" t="str">
        <f>Teams!E19</f>
        <v>T9P3</v>
      </c>
      <c r="F40" s="5" t="str">
        <f t="array" ref="F40">IFERROR(XLOOKUP(E40, SignupNames, SignupClubs), "Not Found")</f>
        <v>Not Found</v>
      </c>
      <c r="G40" s="5">
        <f>Box_C!AB8</f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T40" s="9"/>
      <c r="W40" s="5"/>
      <c r="AB40" s="5" t="str">
        <f>IFERROR(__xludf.DUMMYFUNCTION("""COMPUTED_VALUE"""),"T9P4")</f>
        <v>T9P4</v>
      </c>
      <c r="AC40" s="5">
        <f>IFERROR(__xludf.DUMMYFUNCTION("""COMPUTED_VALUE"""),0.0)</f>
        <v>0</v>
      </c>
      <c r="AH40" s="5"/>
      <c r="AI40" s="5"/>
    </row>
    <row r="41">
      <c r="E41" s="5" t="str">
        <f>Teams!F19</f>
        <v>T9P4</v>
      </c>
      <c r="F41" s="5" t="str">
        <f t="array" ref="F41">IFERROR(XLOOKUP(E41, SignupNames, SignupClubs), "Not Found")</f>
        <v>Not Found</v>
      </c>
      <c r="G41" s="5">
        <f>Box_C!AB9</f>
        <v>0</v>
      </c>
      <c r="T41" s="9"/>
      <c r="W41" s="5"/>
      <c r="AB41" s="5" t="str">
        <f>IFERROR(__xludf.DUMMYFUNCTION("""COMPUTED_VALUE"""),"T10P1")</f>
        <v>T10P1</v>
      </c>
      <c r="AC41" s="5">
        <f>IFERROR(__xludf.DUMMYFUNCTION("""COMPUTED_VALUE"""),0.0)</f>
        <v>0</v>
      </c>
      <c r="AH41" s="5"/>
      <c r="AI41" s="5"/>
    </row>
    <row r="42">
      <c r="E42" s="5" t="str">
        <f>Teams!C20</f>
        <v>T10P1</v>
      </c>
      <c r="F42" s="5" t="str">
        <f t="array" ref="F42">IFERROR(XLOOKUP(E42, SignupNames, SignupClubs), "Not Found")</f>
        <v>Not Found</v>
      </c>
      <c r="G42" s="5">
        <f>Box_C!AB11</f>
        <v>0</v>
      </c>
      <c r="T42" s="9"/>
      <c r="W42" s="5"/>
      <c r="AB42" s="5" t="str">
        <f>IFERROR(__xludf.DUMMYFUNCTION("""COMPUTED_VALUE"""),"T10P2")</f>
        <v>T10P2</v>
      </c>
      <c r="AC42" s="5">
        <f>IFERROR(__xludf.DUMMYFUNCTION("""COMPUTED_VALUE"""),0.0)</f>
        <v>0</v>
      </c>
      <c r="AH42" s="5"/>
      <c r="AI42" s="5"/>
    </row>
    <row r="43">
      <c r="E43" s="5" t="str">
        <f>Teams!D20</f>
        <v>T10P2</v>
      </c>
      <c r="F43" s="5" t="str">
        <f t="array" ref="F43">IFERROR(XLOOKUP(E43, SignupNames, SignupClubs), "Not Found")</f>
        <v>Not Found</v>
      </c>
      <c r="G43" s="5">
        <f>Box_C!AB12</f>
        <v>0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T43" s="9"/>
      <c r="W43" s="5"/>
      <c r="AB43" s="5" t="str">
        <f>IFERROR(__xludf.DUMMYFUNCTION("""COMPUTED_VALUE"""),"T10P3")</f>
        <v>T10P3</v>
      </c>
      <c r="AC43" s="5">
        <f>IFERROR(__xludf.DUMMYFUNCTION("""COMPUTED_VALUE"""),0.0)</f>
        <v>0</v>
      </c>
      <c r="AH43" s="5"/>
      <c r="AI43" s="5"/>
    </row>
    <row r="44">
      <c r="E44" s="5" t="str">
        <f>Teams!E20</f>
        <v>T10P3</v>
      </c>
      <c r="F44" s="5" t="str">
        <f t="array" ref="F44">IFERROR(XLOOKUP(E44, SignupNames, SignupClubs), "Not Found")</f>
        <v>Not Found</v>
      </c>
      <c r="G44" s="5">
        <f>Box_C!AB13</f>
        <v>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T44" s="9"/>
      <c r="W44" s="5"/>
      <c r="AB44" s="5" t="str">
        <f>IFERROR(__xludf.DUMMYFUNCTION("""COMPUTED_VALUE"""),"T10P4")</f>
        <v>T10P4</v>
      </c>
      <c r="AC44" s="5">
        <f>IFERROR(__xludf.DUMMYFUNCTION("""COMPUTED_VALUE"""),0.0)</f>
        <v>0</v>
      </c>
      <c r="AH44" s="5"/>
      <c r="AI44" s="5"/>
    </row>
    <row r="45">
      <c r="E45" s="5" t="str">
        <f>Teams!F20</f>
        <v>T10P4</v>
      </c>
      <c r="F45" s="5" t="str">
        <f t="array" ref="F45">IFERROR(XLOOKUP(E45, SignupNames, SignupClubs), "Not Found")</f>
        <v>Not Found</v>
      </c>
      <c r="G45" s="5">
        <f>Box_C!AB14</f>
        <v>0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T45" s="9"/>
      <c r="W45" s="5"/>
      <c r="AB45" s="5" t="str">
        <f>IFERROR(__xludf.DUMMYFUNCTION("""COMPUTED_VALUE"""),"T11P1")</f>
        <v>T11P1</v>
      </c>
      <c r="AC45" s="5">
        <f>IFERROR(__xludf.DUMMYFUNCTION("""COMPUTED_VALUE"""),0.0)</f>
        <v>0</v>
      </c>
      <c r="AH45" s="5"/>
      <c r="AI45" s="5"/>
    </row>
    <row r="46">
      <c r="E46" s="5" t="str">
        <f>Teams!C21</f>
        <v>T11P1</v>
      </c>
      <c r="F46" s="5" t="str">
        <f t="array" ref="F46">IFERROR(XLOOKUP(E46, SignupNames, SignupClubs), "Not Found")</f>
        <v>Not Found</v>
      </c>
      <c r="G46" s="5">
        <f>Box_C!AB16</f>
        <v>0</v>
      </c>
      <c r="J46" s="5"/>
      <c r="K46" s="5"/>
      <c r="L46" s="5"/>
      <c r="M46" s="5"/>
      <c r="N46" s="5"/>
      <c r="O46" s="5"/>
      <c r="P46" s="5"/>
      <c r="Q46" s="5"/>
      <c r="R46" s="5"/>
      <c r="T46" s="9"/>
      <c r="W46" s="5"/>
      <c r="AB46" s="5" t="str">
        <f>IFERROR(__xludf.DUMMYFUNCTION("""COMPUTED_VALUE"""),"T11P2")</f>
        <v>T11P2</v>
      </c>
      <c r="AC46" s="5">
        <f>IFERROR(__xludf.DUMMYFUNCTION("""COMPUTED_VALUE"""),0.0)</f>
        <v>0</v>
      </c>
      <c r="AH46" s="5"/>
      <c r="AI46" s="5"/>
    </row>
    <row r="47">
      <c r="E47" s="5" t="str">
        <f>Teams!D21</f>
        <v>T11P2</v>
      </c>
      <c r="F47" s="5" t="str">
        <f t="array" ref="F47">IFERROR(XLOOKUP(E47, SignupNames, SignupClubs), "Not Found")</f>
        <v>Not Found</v>
      </c>
      <c r="G47" s="5">
        <f>Box_C!AB17</f>
        <v>0</v>
      </c>
      <c r="I47" s="11" t="s">
        <v>18</v>
      </c>
      <c r="J47" s="5" t="str">
        <f>SUM(J6:J40)</f>
        <v>#N/A</v>
      </c>
      <c r="K47" s="5"/>
      <c r="L47" s="11" t="s">
        <v>116</v>
      </c>
      <c r="M47" s="3">
        <f>COUNTA(I6:I40)</f>
        <v>1</v>
      </c>
      <c r="N47" s="5"/>
      <c r="O47" s="11" t="s">
        <v>117</v>
      </c>
      <c r="P47" s="5">
        <f t="shared" ref="P47:P51" si="1">IFERROR(J47/M47, 0)</f>
        <v>0</v>
      </c>
      <c r="Q47" s="5"/>
      <c r="R47" s="5"/>
      <c r="T47" s="9"/>
      <c r="W47" s="5"/>
      <c r="AB47" s="5" t="str">
        <f>IFERROR(__xludf.DUMMYFUNCTION("""COMPUTED_VALUE"""),"T11P3")</f>
        <v>T11P3</v>
      </c>
      <c r="AC47" s="5">
        <f>IFERROR(__xludf.DUMMYFUNCTION("""COMPUTED_VALUE"""),0.0)</f>
        <v>0</v>
      </c>
      <c r="AH47" s="5"/>
      <c r="AI47" s="5"/>
    </row>
    <row r="48">
      <c r="E48" s="5" t="str">
        <f>Teams!E21</f>
        <v>T11P3</v>
      </c>
      <c r="F48" s="5" t="str">
        <f t="array" ref="F48">IFERROR(XLOOKUP(E48, SignupNames, SignupClubs), "Not Found")</f>
        <v>Not Found</v>
      </c>
      <c r="G48" s="5">
        <f>Box_C!AB18</f>
        <v>0</v>
      </c>
      <c r="I48" s="11" t="s">
        <v>24</v>
      </c>
      <c r="J48" s="5" t="str">
        <f>SUM(L6:L40)</f>
        <v>#N/A</v>
      </c>
      <c r="K48" s="5"/>
      <c r="L48" s="5"/>
      <c r="M48" s="5">
        <f>COUNTA(K6:K40)</f>
        <v>1</v>
      </c>
      <c r="N48" s="5"/>
      <c r="O48" s="5"/>
      <c r="P48" s="5">
        <f t="shared" si="1"/>
        <v>0</v>
      </c>
      <c r="Q48" s="5"/>
      <c r="R48" s="5"/>
      <c r="T48" s="9"/>
      <c r="W48" s="5"/>
      <c r="AB48" s="5" t="str">
        <f>IFERROR(__xludf.DUMMYFUNCTION("""COMPUTED_VALUE"""),"T11P4")</f>
        <v>T11P4</v>
      </c>
      <c r="AC48" s="5">
        <f>IFERROR(__xludf.DUMMYFUNCTION("""COMPUTED_VALUE"""),0.0)</f>
        <v>0</v>
      </c>
      <c r="AH48" s="5"/>
      <c r="AI48" s="5"/>
    </row>
    <row r="49">
      <c r="E49" s="5" t="str">
        <f>Teams!F21</f>
        <v>T11P4</v>
      </c>
      <c r="F49" s="5" t="str">
        <f t="array" ref="F49">IFERROR(XLOOKUP(E49, SignupNames, SignupClubs), "Not Found")</f>
        <v>Not Found</v>
      </c>
      <c r="G49" s="5">
        <f>Box_C!AB19</f>
        <v>0</v>
      </c>
      <c r="I49" s="11" t="s">
        <v>21</v>
      </c>
      <c r="J49" s="5" t="str">
        <f>SUM(N6:N40)</f>
        <v>#N/A</v>
      </c>
      <c r="K49" s="5"/>
      <c r="L49" s="5"/>
      <c r="M49" s="5">
        <f>COUNTA(M6:M40)</f>
        <v>1</v>
      </c>
      <c r="N49" s="5"/>
      <c r="O49" s="5"/>
      <c r="P49" s="5">
        <f t="shared" si="1"/>
        <v>0</v>
      </c>
      <c r="Q49" s="5"/>
      <c r="R49" s="5"/>
      <c r="T49" s="9"/>
      <c r="W49" s="5"/>
      <c r="AB49" s="5" t="str">
        <f>IFERROR(__xludf.DUMMYFUNCTION("""COMPUTED_VALUE"""),"T12P1")</f>
        <v>T12P1</v>
      </c>
      <c r="AC49" s="5">
        <f>IFERROR(__xludf.DUMMYFUNCTION("""COMPUTED_VALUE"""),0.0)</f>
        <v>0</v>
      </c>
      <c r="AH49" s="5"/>
      <c r="AI49" s="5"/>
    </row>
    <row r="50">
      <c r="E50" s="5" t="str">
        <f>Teams!C22</f>
        <v>T12P1</v>
      </c>
      <c r="F50" s="5" t="str">
        <f t="array" ref="F50">IFERROR(XLOOKUP(E50, SignupNames, SignupClubs), "Not Found")</f>
        <v>Not Found</v>
      </c>
      <c r="G50" s="5">
        <f>Box_C!AB21</f>
        <v>0</v>
      </c>
      <c r="I50" s="11" t="s">
        <v>115</v>
      </c>
      <c r="J50" s="5" t="str">
        <f>SUM(P6:P40)</f>
        <v>#N/A</v>
      </c>
      <c r="K50" s="5"/>
      <c r="L50" s="5"/>
      <c r="M50" s="5">
        <f>COUNTA(O6:O40)</f>
        <v>1</v>
      </c>
      <c r="N50" s="5"/>
      <c r="O50" s="5"/>
      <c r="P50" s="5">
        <f t="shared" si="1"/>
        <v>0</v>
      </c>
      <c r="Q50" s="5"/>
      <c r="R50" s="5"/>
      <c r="T50" s="9"/>
      <c r="W50" s="5"/>
      <c r="AB50" s="5" t="str">
        <f>IFERROR(__xludf.DUMMYFUNCTION("""COMPUTED_VALUE"""),"T12P2")</f>
        <v>T12P2</v>
      </c>
      <c r="AC50" s="5">
        <f>IFERROR(__xludf.DUMMYFUNCTION("""COMPUTED_VALUE"""),0.0)</f>
        <v>0</v>
      </c>
      <c r="AH50" s="5"/>
      <c r="AI50" s="5"/>
    </row>
    <row r="51">
      <c r="E51" s="5" t="str">
        <f>Teams!D22</f>
        <v>T12P2</v>
      </c>
      <c r="F51" s="5" t="str">
        <f t="array" ref="F51">IFERROR(XLOOKUP(E51, SignupNames, SignupClubs), "Not Found")</f>
        <v>Not Found</v>
      </c>
      <c r="G51" s="5">
        <f>Box_C!AB22</f>
        <v>0</v>
      </c>
      <c r="I51" s="11" t="s">
        <v>27</v>
      </c>
      <c r="J51" s="5">
        <f>SUM(R6:R40)</f>
        <v>0</v>
      </c>
      <c r="K51" s="5"/>
      <c r="L51" s="5"/>
      <c r="M51" s="5">
        <f>COUNTA(Q6:Q40)</f>
        <v>0</v>
      </c>
      <c r="N51" s="5"/>
      <c r="O51" s="5"/>
      <c r="P51" s="5">
        <f t="shared" si="1"/>
        <v>0</v>
      </c>
      <c r="Q51" s="5"/>
      <c r="R51" s="5"/>
      <c r="T51" s="9"/>
      <c r="W51" s="5"/>
      <c r="AB51" s="5" t="str">
        <f>IFERROR(__xludf.DUMMYFUNCTION("""COMPUTED_VALUE"""),"T12P3")</f>
        <v>T12P3</v>
      </c>
      <c r="AC51" s="5">
        <f>IFERROR(__xludf.DUMMYFUNCTION("""COMPUTED_VALUE"""),0.0)</f>
        <v>0</v>
      </c>
      <c r="AH51" s="5"/>
      <c r="AI51" s="5"/>
    </row>
    <row r="52">
      <c r="E52" s="5" t="str">
        <f>Teams!E22</f>
        <v>T12P3</v>
      </c>
      <c r="F52" s="5" t="str">
        <f t="array" ref="F52">IFERROR(XLOOKUP(E52, SignupNames, SignupClubs), "Not Found")</f>
        <v>Not Found</v>
      </c>
      <c r="G52" s="5">
        <f>Box_C!AB23</f>
        <v>0</v>
      </c>
      <c r="I52" s="5"/>
      <c r="J52" s="5"/>
      <c r="K52" s="5"/>
      <c r="L52" s="5"/>
      <c r="M52" s="5"/>
      <c r="N52" s="5"/>
      <c r="O52" s="5"/>
      <c r="P52" s="5"/>
      <c r="Q52" s="5"/>
      <c r="R52" s="5"/>
      <c r="T52" s="9"/>
      <c r="W52" s="5"/>
      <c r="AB52" s="5" t="str">
        <f>IFERROR(__xludf.DUMMYFUNCTION("""COMPUTED_VALUE"""),"T12P4")</f>
        <v>T12P4</v>
      </c>
      <c r="AC52" s="5">
        <f>IFERROR(__xludf.DUMMYFUNCTION("""COMPUTED_VALUE"""),0.0)</f>
        <v>0</v>
      </c>
      <c r="AH52" s="5"/>
      <c r="AI52" s="5"/>
    </row>
    <row r="53">
      <c r="E53" s="5" t="str">
        <f>Teams!F22</f>
        <v>T12P4</v>
      </c>
      <c r="F53" s="5" t="str">
        <f t="array" ref="F53">IFERROR(XLOOKUP(E53, SignupNames, SignupClubs), "Not Found")</f>
        <v>Not Found</v>
      </c>
      <c r="G53" s="5">
        <f>Box_C!AB24</f>
        <v>0</v>
      </c>
      <c r="I53" s="5"/>
      <c r="J53" s="5"/>
      <c r="K53" s="5"/>
      <c r="L53" s="5"/>
      <c r="M53" s="5"/>
      <c r="N53" s="5"/>
      <c r="O53" s="5"/>
      <c r="P53" s="5"/>
      <c r="Q53" s="5"/>
      <c r="R53" s="5"/>
      <c r="T53" s="9"/>
      <c r="W53" s="5"/>
      <c r="AB53" s="5"/>
      <c r="AC53" s="5"/>
      <c r="AH53" s="5"/>
      <c r="AI53" s="5"/>
    </row>
    <row r="54">
      <c r="E54" s="5"/>
      <c r="F54" s="5"/>
      <c r="G54" s="5"/>
      <c r="I54" s="5"/>
      <c r="J54" s="5"/>
      <c r="K54" s="5"/>
      <c r="L54" s="5"/>
      <c r="M54" s="5"/>
      <c r="N54" s="5"/>
      <c r="O54" s="5"/>
      <c r="P54" s="5"/>
      <c r="Q54" s="5"/>
      <c r="R54" s="5"/>
      <c r="T54" s="9"/>
      <c r="W54" s="5"/>
      <c r="AB54" s="5"/>
      <c r="AC54" s="5"/>
      <c r="AH54" s="5"/>
      <c r="AI54" s="5"/>
    </row>
    <row r="55">
      <c r="E55" s="5"/>
      <c r="F55" s="5"/>
      <c r="G55" s="5"/>
      <c r="I55" s="5"/>
      <c r="J55" s="5"/>
      <c r="K55" s="5"/>
      <c r="L55" s="5"/>
      <c r="M55" s="5"/>
      <c r="N55" s="5"/>
      <c r="O55" s="5"/>
      <c r="P55" s="5"/>
      <c r="Q55" s="5"/>
      <c r="R55" s="5"/>
      <c r="T55" s="9"/>
      <c r="W55" s="5"/>
      <c r="AB55" s="5"/>
      <c r="AC55" s="5"/>
      <c r="AH55" s="5"/>
      <c r="AI55" s="5"/>
    </row>
    <row r="56">
      <c r="E56" s="5"/>
      <c r="F56" s="5"/>
      <c r="G56" s="5"/>
      <c r="I56" s="5"/>
      <c r="J56" s="5"/>
      <c r="K56" s="5"/>
      <c r="L56" s="5"/>
      <c r="M56" s="5"/>
      <c r="N56" s="5"/>
      <c r="O56" s="5"/>
      <c r="P56" s="5"/>
      <c r="Q56" s="5"/>
      <c r="R56" s="5"/>
      <c r="T56" s="9"/>
      <c r="W56" s="5"/>
      <c r="AB56" s="5"/>
      <c r="AC56" s="5"/>
      <c r="AH56" s="5"/>
      <c r="AI56" s="5"/>
    </row>
    <row r="57">
      <c r="E57" s="5"/>
      <c r="F57" s="5"/>
      <c r="G57" s="5"/>
      <c r="I57" s="5"/>
      <c r="J57" s="5"/>
      <c r="K57" s="5"/>
      <c r="L57" s="5"/>
      <c r="M57" s="5"/>
      <c r="N57" s="5"/>
      <c r="O57" s="5"/>
      <c r="P57" s="5"/>
      <c r="Q57" s="5"/>
      <c r="R57" s="5"/>
      <c r="T57" s="9"/>
      <c r="W57" s="5"/>
      <c r="AB57" s="5"/>
      <c r="AC57" s="5"/>
      <c r="AH57" s="5"/>
      <c r="AI57" s="5"/>
    </row>
    <row r="58">
      <c r="E58" s="5"/>
      <c r="F58" s="5"/>
      <c r="G58" s="5"/>
      <c r="I58" s="5"/>
      <c r="J58" s="5"/>
      <c r="K58" s="5"/>
      <c r="L58" s="5"/>
      <c r="M58" s="5"/>
      <c r="N58" s="5"/>
      <c r="O58" s="5"/>
      <c r="P58" s="5"/>
      <c r="Q58" s="5"/>
      <c r="R58" s="5"/>
      <c r="T58" s="9"/>
      <c r="W58" s="5"/>
      <c r="AB58" s="5"/>
      <c r="AC58" s="5"/>
      <c r="AH58" s="5"/>
      <c r="AI58" s="5"/>
    </row>
    <row r="59">
      <c r="E59" s="5"/>
      <c r="F59" s="5"/>
      <c r="G59" s="5"/>
      <c r="I59" s="5"/>
      <c r="J59" s="5"/>
      <c r="K59" s="5"/>
      <c r="L59" s="5"/>
      <c r="M59" s="5"/>
      <c r="N59" s="5"/>
      <c r="O59" s="5"/>
      <c r="P59" s="5"/>
      <c r="Q59" s="5"/>
      <c r="R59" s="5"/>
      <c r="T59" s="9"/>
      <c r="W59" s="5"/>
      <c r="AB59" s="5"/>
      <c r="AC59" s="5"/>
      <c r="AH59" s="5"/>
      <c r="AI59" s="5"/>
    </row>
    <row r="60">
      <c r="E60" s="5"/>
      <c r="F60" s="5"/>
      <c r="G60" s="5"/>
      <c r="I60" s="5"/>
      <c r="J60" s="5"/>
      <c r="K60" s="5"/>
      <c r="L60" s="5"/>
      <c r="M60" s="5"/>
      <c r="N60" s="5"/>
      <c r="O60" s="5"/>
      <c r="P60" s="5"/>
      <c r="Q60" s="5"/>
      <c r="R60" s="5"/>
      <c r="T60" s="9"/>
      <c r="W60" s="5"/>
      <c r="AB60" s="5"/>
      <c r="AC60" s="5"/>
      <c r="AH60" s="5"/>
      <c r="AI60" s="5"/>
    </row>
    <row r="61">
      <c r="E61" s="5"/>
      <c r="F61" s="5"/>
      <c r="G61" s="5"/>
      <c r="I61" s="5"/>
      <c r="J61" s="5"/>
      <c r="K61" s="5"/>
      <c r="L61" s="5"/>
      <c r="M61" s="5"/>
      <c r="N61" s="5"/>
      <c r="O61" s="5"/>
      <c r="P61" s="5"/>
      <c r="Q61" s="5"/>
      <c r="R61" s="5"/>
      <c r="T61" s="9"/>
      <c r="W61" s="5"/>
      <c r="AB61" s="5"/>
      <c r="AC61" s="5"/>
      <c r="AH61" s="5"/>
      <c r="AI61" s="5"/>
    </row>
    <row r="62">
      <c r="E62" s="5"/>
      <c r="F62" s="5"/>
      <c r="G62" s="5"/>
      <c r="I62" s="5"/>
      <c r="J62" s="5"/>
      <c r="K62" s="5"/>
      <c r="L62" s="5"/>
      <c r="M62" s="5"/>
      <c r="N62" s="5"/>
      <c r="O62" s="5"/>
      <c r="P62" s="5"/>
      <c r="Q62" s="5"/>
      <c r="R62" s="5"/>
      <c r="T62" s="9"/>
      <c r="W62" s="5"/>
      <c r="AB62" s="5"/>
      <c r="AC62" s="5"/>
      <c r="AH62" s="5"/>
      <c r="AI62" s="5"/>
    </row>
    <row r="63">
      <c r="E63" s="5"/>
      <c r="F63" s="5"/>
      <c r="G63" s="5"/>
      <c r="I63" s="5"/>
      <c r="J63" s="5"/>
      <c r="K63" s="5"/>
      <c r="L63" s="5"/>
      <c r="M63" s="5"/>
      <c r="N63" s="5"/>
      <c r="O63" s="5"/>
      <c r="P63" s="5"/>
      <c r="Q63" s="5"/>
      <c r="R63" s="5"/>
      <c r="T63" s="9"/>
      <c r="W63" s="5"/>
      <c r="AB63" s="5"/>
      <c r="AC63" s="5"/>
      <c r="AH63" s="5"/>
      <c r="AI63" s="5"/>
    </row>
    <row r="64">
      <c r="E64" s="5"/>
      <c r="F64" s="5"/>
      <c r="G64" s="5"/>
      <c r="I64" s="5"/>
      <c r="J64" s="5"/>
      <c r="K64" s="5"/>
      <c r="L64" s="5"/>
      <c r="M64" s="5"/>
      <c r="N64" s="5"/>
      <c r="O64" s="5"/>
      <c r="P64" s="5"/>
      <c r="Q64" s="5"/>
      <c r="R64" s="5"/>
      <c r="T64" s="9"/>
      <c r="W64" s="5"/>
      <c r="AB64" s="5"/>
      <c r="AC64" s="5"/>
      <c r="AH64" s="5"/>
      <c r="AI64" s="5"/>
    </row>
    <row r="65">
      <c r="E65" s="5"/>
      <c r="F65" s="5"/>
      <c r="G65" s="5"/>
      <c r="I65" s="5"/>
      <c r="J65" s="5"/>
      <c r="K65" s="5"/>
      <c r="L65" s="5"/>
      <c r="M65" s="5"/>
      <c r="N65" s="5"/>
      <c r="O65" s="5"/>
      <c r="P65" s="5"/>
      <c r="Q65" s="5"/>
      <c r="R65" s="5"/>
      <c r="T65" s="9"/>
      <c r="W65" s="5"/>
      <c r="AB65" s="5"/>
      <c r="AC65" s="5"/>
      <c r="AH65" s="5"/>
      <c r="AI65" s="5"/>
    </row>
    <row r="66">
      <c r="E66" s="5"/>
      <c r="F66" s="5"/>
      <c r="G66" s="5"/>
      <c r="I66" s="5"/>
      <c r="J66" s="5"/>
      <c r="K66" s="5"/>
      <c r="L66" s="5"/>
      <c r="M66" s="5"/>
      <c r="N66" s="5"/>
      <c r="O66" s="5"/>
      <c r="P66" s="5"/>
      <c r="Q66" s="5"/>
      <c r="R66" s="5"/>
      <c r="T66" s="9"/>
      <c r="W66" s="5"/>
      <c r="AB66" s="5"/>
      <c r="AC66" s="5"/>
      <c r="AH66" s="5"/>
      <c r="AI66" s="5"/>
    </row>
    <row r="67">
      <c r="E67" s="5"/>
      <c r="F67" s="5"/>
      <c r="G67" s="5"/>
      <c r="I67" s="5"/>
      <c r="J67" s="5"/>
      <c r="K67" s="5"/>
      <c r="L67" s="5"/>
      <c r="M67" s="5"/>
      <c r="N67" s="5"/>
      <c r="O67" s="5"/>
      <c r="P67" s="5"/>
      <c r="Q67" s="5"/>
      <c r="R67" s="5"/>
      <c r="T67" s="9"/>
      <c r="W67" s="5"/>
      <c r="AB67" s="5"/>
      <c r="AC67" s="5"/>
      <c r="AH67" s="5"/>
      <c r="AI67" s="5"/>
    </row>
    <row r="68">
      <c r="E68" s="5"/>
      <c r="F68" s="5"/>
      <c r="G68" s="5"/>
      <c r="I68" s="5"/>
      <c r="J68" s="5"/>
      <c r="K68" s="5"/>
      <c r="L68" s="5"/>
      <c r="M68" s="5"/>
      <c r="N68" s="5"/>
      <c r="O68" s="5"/>
      <c r="P68" s="5"/>
      <c r="Q68" s="5"/>
      <c r="R68" s="5"/>
      <c r="T68" s="9"/>
      <c r="W68" s="5"/>
      <c r="AB68" s="5"/>
      <c r="AC68" s="5"/>
      <c r="AH68" s="5"/>
      <c r="AI68" s="5"/>
    </row>
    <row r="69">
      <c r="E69" s="5"/>
      <c r="F69" s="5"/>
      <c r="G69" s="5"/>
      <c r="I69" s="5"/>
      <c r="J69" s="5"/>
      <c r="K69" s="5"/>
      <c r="L69" s="5"/>
      <c r="M69" s="5"/>
      <c r="N69" s="5"/>
      <c r="O69" s="5"/>
      <c r="P69" s="5"/>
      <c r="Q69" s="5"/>
      <c r="R69" s="5"/>
      <c r="T69" s="9"/>
      <c r="W69" s="5"/>
      <c r="AB69" s="5"/>
      <c r="AC69" s="5"/>
      <c r="AH69" s="5"/>
      <c r="AI69" s="5"/>
    </row>
    <row r="70">
      <c r="E70" s="5"/>
      <c r="F70" s="5"/>
      <c r="G70" s="5"/>
      <c r="I70" s="5"/>
      <c r="J70" s="5"/>
      <c r="K70" s="5"/>
      <c r="L70" s="5"/>
      <c r="M70" s="5"/>
      <c r="N70" s="5"/>
      <c r="O70" s="5"/>
      <c r="P70" s="5"/>
      <c r="Q70" s="5"/>
      <c r="R70" s="5"/>
      <c r="T70" s="9"/>
      <c r="W70" s="5"/>
      <c r="AB70" s="5"/>
      <c r="AC70" s="5"/>
      <c r="AH70" s="5"/>
      <c r="AI70" s="5"/>
    </row>
    <row r="71">
      <c r="E71" s="5"/>
      <c r="F71" s="5"/>
      <c r="G71" s="5"/>
      <c r="I71" s="5"/>
      <c r="J71" s="5"/>
      <c r="K71" s="5"/>
      <c r="L71" s="5"/>
      <c r="M71" s="5"/>
      <c r="N71" s="5"/>
      <c r="O71" s="5"/>
      <c r="P71" s="5"/>
      <c r="Q71" s="5"/>
      <c r="R71" s="5"/>
      <c r="T71" s="9"/>
      <c r="W71" s="5"/>
      <c r="AB71" s="5"/>
      <c r="AC71" s="5"/>
      <c r="AH71" s="5"/>
      <c r="AI71" s="5"/>
    </row>
    <row r="72">
      <c r="E72" s="5"/>
      <c r="F72" s="5"/>
      <c r="G72" s="5"/>
      <c r="I72" s="5"/>
      <c r="J72" s="5"/>
      <c r="K72" s="5"/>
      <c r="L72" s="5"/>
      <c r="M72" s="5"/>
      <c r="N72" s="5"/>
      <c r="O72" s="5"/>
      <c r="P72" s="5"/>
      <c r="Q72" s="5"/>
      <c r="R72" s="5"/>
      <c r="T72" s="9"/>
      <c r="W72" s="5"/>
      <c r="AB72" s="5"/>
      <c r="AC72" s="5"/>
      <c r="AH72" s="5"/>
      <c r="AI72" s="5"/>
    </row>
    <row r="73">
      <c r="E73" s="5"/>
      <c r="F73" s="5"/>
      <c r="G73" s="5"/>
      <c r="I73" s="5"/>
      <c r="J73" s="5"/>
      <c r="K73" s="5"/>
      <c r="L73" s="5"/>
      <c r="M73" s="5"/>
      <c r="N73" s="5"/>
      <c r="O73" s="5"/>
      <c r="P73" s="5"/>
      <c r="Q73" s="5"/>
      <c r="R73" s="5"/>
      <c r="T73" s="9"/>
      <c r="W73" s="5"/>
      <c r="AB73" s="5"/>
      <c r="AC73" s="5"/>
      <c r="AH73" s="5"/>
      <c r="AI73" s="5"/>
    </row>
    <row r="74">
      <c r="E74" s="5"/>
      <c r="F74" s="5"/>
      <c r="G74" s="5"/>
      <c r="I74" s="5"/>
      <c r="J74" s="5"/>
      <c r="K74" s="5"/>
      <c r="L74" s="5"/>
      <c r="M74" s="5"/>
      <c r="N74" s="5"/>
      <c r="O74" s="5"/>
      <c r="P74" s="5"/>
      <c r="Q74" s="5"/>
      <c r="R74" s="5"/>
      <c r="T74" s="9"/>
      <c r="W74" s="5"/>
      <c r="AB74" s="5"/>
      <c r="AC74" s="5"/>
      <c r="AH74" s="5"/>
      <c r="AI74" s="5"/>
    </row>
    <row r="75">
      <c r="E75" s="5"/>
      <c r="F75" s="5"/>
      <c r="G75" s="5"/>
      <c r="I75" s="5"/>
      <c r="J75" s="5"/>
      <c r="K75" s="5"/>
      <c r="L75" s="5"/>
      <c r="M75" s="5"/>
      <c r="N75" s="5"/>
      <c r="O75" s="5"/>
      <c r="P75" s="5"/>
      <c r="Q75" s="5"/>
      <c r="R75" s="5"/>
      <c r="T75" s="9"/>
      <c r="W75" s="5"/>
      <c r="AB75" s="5"/>
      <c r="AC75" s="5"/>
      <c r="AH75" s="5"/>
      <c r="AI75" s="5"/>
    </row>
    <row r="76">
      <c r="E76" s="5"/>
      <c r="F76" s="5"/>
      <c r="G76" s="5"/>
      <c r="I76" s="5"/>
      <c r="J76" s="5"/>
      <c r="K76" s="5"/>
      <c r="L76" s="5"/>
      <c r="M76" s="5"/>
      <c r="N76" s="5"/>
      <c r="O76" s="5"/>
      <c r="P76" s="5"/>
      <c r="Q76" s="5"/>
      <c r="R76" s="5"/>
      <c r="T76" s="9"/>
      <c r="W76" s="5"/>
      <c r="AB76" s="5"/>
      <c r="AC76" s="5"/>
      <c r="AH76" s="5"/>
      <c r="AI76" s="5"/>
    </row>
    <row r="77">
      <c r="E77" s="5"/>
      <c r="F77" s="5"/>
      <c r="G77" s="5"/>
      <c r="I77" s="5"/>
      <c r="J77" s="5"/>
      <c r="K77" s="5"/>
      <c r="L77" s="5"/>
      <c r="M77" s="5"/>
      <c r="N77" s="5"/>
      <c r="O77" s="5"/>
      <c r="P77" s="5"/>
      <c r="Q77" s="5"/>
      <c r="R77" s="5"/>
      <c r="T77" s="9"/>
      <c r="W77" s="5"/>
      <c r="AB77" s="5"/>
      <c r="AC77" s="5"/>
      <c r="AH77" s="5"/>
      <c r="AI77" s="5"/>
    </row>
    <row r="78">
      <c r="E78" s="5"/>
      <c r="F78" s="5"/>
      <c r="G78" s="5"/>
      <c r="I78" s="5"/>
      <c r="J78" s="5"/>
      <c r="K78" s="5"/>
      <c r="L78" s="5"/>
      <c r="M78" s="5"/>
      <c r="N78" s="5"/>
      <c r="O78" s="5"/>
      <c r="P78" s="5"/>
      <c r="Q78" s="5"/>
      <c r="R78" s="5"/>
      <c r="T78" s="9"/>
      <c r="W78" s="5"/>
      <c r="AB78" s="5"/>
      <c r="AC78" s="5"/>
      <c r="AH78" s="5"/>
      <c r="AI78" s="5"/>
    </row>
    <row r="79">
      <c r="E79" s="5"/>
      <c r="F79" s="5"/>
      <c r="G79" s="5"/>
      <c r="I79" s="5"/>
      <c r="J79" s="5"/>
      <c r="K79" s="5"/>
      <c r="L79" s="5"/>
      <c r="M79" s="5"/>
      <c r="N79" s="5"/>
      <c r="O79" s="5"/>
      <c r="P79" s="5"/>
      <c r="Q79" s="5"/>
      <c r="R79" s="5"/>
      <c r="T79" s="9"/>
      <c r="W79" s="5"/>
      <c r="AB79" s="5"/>
      <c r="AC79" s="5"/>
      <c r="AH79" s="5"/>
      <c r="AI79" s="5"/>
    </row>
    <row r="80">
      <c r="E80" s="5"/>
      <c r="F80" s="5"/>
      <c r="G80" s="5"/>
      <c r="I80" s="5"/>
      <c r="J80" s="5"/>
      <c r="K80" s="5"/>
      <c r="L80" s="5"/>
      <c r="M80" s="5"/>
      <c r="N80" s="5"/>
      <c r="O80" s="5"/>
      <c r="P80" s="5"/>
      <c r="Q80" s="5"/>
      <c r="R80" s="5"/>
      <c r="T80" s="9"/>
      <c r="W80" s="5"/>
      <c r="AB80" s="5"/>
      <c r="AC80" s="5"/>
      <c r="AH80" s="5"/>
      <c r="AI80" s="5"/>
    </row>
    <row r="81">
      <c r="E81" s="5"/>
      <c r="F81" s="5"/>
      <c r="G81" s="5"/>
      <c r="I81" s="5"/>
      <c r="J81" s="5"/>
      <c r="K81" s="5"/>
      <c r="L81" s="5"/>
      <c r="M81" s="5"/>
      <c r="N81" s="5"/>
      <c r="O81" s="5"/>
      <c r="P81" s="5"/>
      <c r="Q81" s="5"/>
      <c r="R81" s="5"/>
      <c r="T81" s="9"/>
      <c r="W81" s="5"/>
      <c r="AB81" s="5"/>
      <c r="AC81" s="5"/>
      <c r="AH81" s="5"/>
      <c r="AI81" s="5"/>
    </row>
    <row r="82">
      <c r="E82" s="5"/>
      <c r="F82" s="5"/>
      <c r="G82" s="5"/>
      <c r="I82" s="5"/>
      <c r="J82" s="5"/>
      <c r="K82" s="5"/>
      <c r="L82" s="5"/>
      <c r="M82" s="5"/>
      <c r="N82" s="5"/>
      <c r="O82" s="5"/>
      <c r="P82" s="5"/>
      <c r="Q82" s="5"/>
      <c r="R82" s="5"/>
      <c r="T82" s="9"/>
      <c r="W82" s="5"/>
      <c r="AB82" s="5"/>
      <c r="AC82" s="5"/>
      <c r="AH82" s="5"/>
      <c r="AI82" s="5"/>
    </row>
    <row r="83">
      <c r="E83" s="5"/>
      <c r="F83" s="5"/>
      <c r="G83" s="5"/>
      <c r="I83" s="5"/>
      <c r="J83" s="5"/>
      <c r="K83" s="5"/>
      <c r="L83" s="5"/>
      <c r="M83" s="5"/>
      <c r="N83" s="5"/>
      <c r="O83" s="5"/>
      <c r="P83" s="5"/>
      <c r="Q83" s="5"/>
      <c r="R83" s="5"/>
      <c r="T83" s="9"/>
      <c r="W83" s="5"/>
      <c r="AB83" s="5"/>
      <c r="AC83" s="5"/>
      <c r="AH83" s="5"/>
      <c r="AI83" s="5"/>
    </row>
    <row r="84">
      <c r="E84" s="5"/>
      <c r="F84" s="5"/>
      <c r="G84" s="5"/>
      <c r="I84" s="5"/>
      <c r="J84" s="5"/>
      <c r="K84" s="5"/>
      <c r="L84" s="5"/>
      <c r="M84" s="5"/>
      <c r="N84" s="5"/>
      <c r="O84" s="5"/>
      <c r="P84" s="5"/>
      <c r="Q84" s="5"/>
      <c r="R84" s="5"/>
      <c r="T84" s="9"/>
      <c r="W84" s="5"/>
      <c r="AB84" s="5"/>
      <c r="AC84" s="5"/>
      <c r="AH84" s="5"/>
      <c r="AI84" s="5"/>
    </row>
    <row r="85">
      <c r="E85" s="5"/>
      <c r="F85" s="5"/>
      <c r="G85" s="5"/>
      <c r="I85" s="5"/>
      <c r="J85" s="5"/>
      <c r="K85" s="5"/>
      <c r="L85" s="5"/>
      <c r="M85" s="5"/>
      <c r="N85" s="5"/>
      <c r="O85" s="5"/>
      <c r="P85" s="5"/>
      <c r="Q85" s="5"/>
      <c r="R85" s="5"/>
      <c r="T85" s="9"/>
      <c r="W85" s="5"/>
      <c r="AB85" s="5"/>
      <c r="AC85" s="5"/>
      <c r="AH85" s="5"/>
      <c r="AI85" s="5"/>
    </row>
    <row r="86">
      <c r="E86" s="5"/>
      <c r="F86" s="5"/>
      <c r="G86" s="5"/>
      <c r="I86" s="5"/>
      <c r="J86" s="5"/>
      <c r="K86" s="5"/>
      <c r="L86" s="5"/>
      <c r="M86" s="5"/>
      <c r="N86" s="5"/>
      <c r="O86" s="5"/>
      <c r="P86" s="5"/>
      <c r="Q86" s="5"/>
      <c r="R86" s="5"/>
      <c r="T86" s="9"/>
      <c r="W86" s="5"/>
      <c r="AB86" s="5"/>
      <c r="AC86" s="5"/>
      <c r="AH86" s="5"/>
      <c r="AI86" s="5"/>
    </row>
    <row r="87">
      <c r="E87" s="5"/>
      <c r="F87" s="5"/>
      <c r="G87" s="5"/>
      <c r="I87" s="5"/>
      <c r="J87" s="5"/>
      <c r="K87" s="5"/>
      <c r="L87" s="5"/>
      <c r="M87" s="5"/>
      <c r="N87" s="5"/>
      <c r="O87" s="5"/>
      <c r="P87" s="5"/>
      <c r="Q87" s="5"/>
      <c r="R87" s="5"/>
      <c r="T87" s="9"/>
      <c r="W87" s="5"/>
      <c r="AB87" s="5"/>
      <c r="AC87" s="5"/>
      <c r="AH87" s="5"/>
      <c r="AI87" s="5"/>
    </row>
    <row r="88">
      <c r="E88" s="5"/>
      <c r="F88" s="5"/>
      <c r="G88" s="5"/>
      <c r="I88" s="5"/>
      <c r="J88" s="5"/>
      <c r="K88" s="5"/>
      <c r="L88" s="5"/>
      <c r="M88" s="5"/>
      <c r="N88" s="5"/>
      <c r="O88" s="5"/>
      <c r="P88" s="5"/>
      <c r="Q88" s="5"/>
      <c r="R88" s="5"/>
      <c r="T88" s="9"/>
      <c r="W88" s="5"/>
      <c r="AB88" s="5"/>
      <c r="AC88" s="5"/>
      <c r="AH88" s="5"/>
      <c r="AI88" s="5"/>
    </row>
    <row r="89">
      <c r="E89" s="5"/>
      <c r="F89" s="5"/>
      <c r="G89" s="5"/>
      <c r="I89" s="5"/>
      <c r="J89" s="5"/>
      <c r="K89" s="5"/>
      <c r="L89" s="5"/>
      <c r="M89" s="5"/>
      <c r="N89" s="5"/>
      <c r="O89" s="5"/>
      <c r="P89" s="5"/>
      <c r="Q89" s="5"/>
      <c r="R89" s="5"/>
      <c r="T89" s="9"/>
      <c r="W89" s="5"/>
      <c r="AB89" s="5"/>
      <c r="AC89" s="5"/>
      <c r="AH89" s="5"/>
      <c r="AI89" s="5"/>
    </row>
    <row r="90">
      <c r="E90" s="5"/>
      <c r="F90" s="5"/>
      <c r="G90" s="5"/>
      <c r="I90" s="5"/>
      <c r="J90" s="5"/>
      <c r="K90" s="5"/>
      <c r="L90" s="5"/>
      <c r="M90" s="5"/>
      <c r="N90" s="5"/>
      <c r="O90" s="5"/>
      <c r="P90" s="5"/>
      <c r="Q90" s="5"/>
      <c r="R90" s="5"/>
      <c r="T90" s="9"/>
      <c r="W90" s="5"/>
      <c r="AB90" s="5"/>
      <c r="AC90" s="5"/>
      <c r="AH90" s="5"/>
      <c r="AI90" s="5"/>
    </row>
    <row r="91">
      <c r="E91" s="5"/>
      <c r="F91" s="5"/>
      <c r="G91" s="5"/>
      <c r="I91" s="5"/>
      <c r="J91" s="5"/>
      <c r="K91" s="5"/>
      <c r="L91" s="5"/>
      <c r="M91" s="5"/>
      <c r="N91" s="5"/>
      <c r="O91" s="5"/>
      <c r="P91" s="5"/>
      <c r="Q91" s="5"/>
      <c r="R91" s="5"/>
      <c r="T91" s="9"/>
      <c r="W91" s="5"/>
      <c r="AB91" s="5"/>
      <c r="AC91" s="5"/>
      <c r="AH91" s="5"/>
      <c r="AI91" s="5"/>
    </row>
    <row r="92">
      <c r="E92" s="5"/>
      <c r="F92" s="5"/>
      <c r="G92" s="5"/>
      <c r="I92" s="5"/>
      <c r="J92" s="5"/>
      <c r="K92" s="5"/>
      <c r="L92" s="5"/>
      <c r="M92" s="5"/>
      <c r="N92" s="5"/>
      <c r="O92" s="5"/>
      <c r="P92" s="5"/>
      <c r="Q92" s="5"/>
      <c r="R92" s="5"/>
      <c r="T92" s="9"/>
      <c r="W92" s="5"/>
      <c r="AB92" s="5"/>
      <c r="AC92" s="5"/>
      <c r="AH92" s="5"/>
      <c r="AI92" s="5"/>
    </row>
    <row r="93">
      <c r="E93" s="5"/>
      <c r="F93" s="5"/>
      <c r="G93" s="5"/>
      <c r="I93" s="5"/>
      <c r="J93" s="5"/>
      <c r="K93" s="5"/>
      <c r="L93" s="5"/>
      <c r="M93" s="5"/>
      <c r="N93" s="5"/>
      <c r="O93" s="5"/>
      <c r="P93" s="5"/>
      <c r="Q93" s="5"/>
      <c r="R93" s="5"/>
      <c r="T93" s="9"/>
      <c r="W93" s="5"/>
      <c r="AB93" s="5"/>
      <c r="AC93" s="5"/>
      <c r="AH93" s="5"/>
      <c r="AI93" s="5"/>
    </row>
    <row r="94">
      <c r="E94" s="5"/>
      <c r="F94" s="5"/>
      <c r="G94" s="5"/>
      <c r="I94" s="5"/>
      <c r="J94" s="5"/>
      <c r="K94" s="5"/>
      <c r="L94" s="5"/>
      <c r="M94" s="5"/>
      <c r="N94" s="5"/>
      <c r="O94" s="5"/>
      <c r="P94" s="5"/>
      <c r="Q94" s="5"/>
      <c r="R94" s="5"/>
      <c r="T94" s="9"/>
      <c r="W94" s="5"/>
      <c r="AB94" s="5"/>
      <c r="AC94" s="5"/>
      <c r="AH94" s="5"/>
      <c r="AI94" s="5"/>
    </row>
    <row r="95">
      <c r="E95" s="5"/>
      <c r="F95" s="5"/>
      <c r="G95" s="5"/>
      <c r="I95" s="5"/>
      <c r="J95" s="5"/>
      <c r="K95" s="5"/>
      <c r="L95" s="5"/>
      <c r="M95" s="5"/>
      <c r="N95" s="5"/>
      <c r="O95" s="5"/>
      <c r="P95" s="5"/>
      <c r="Q95" s="5"/>
      <c r="R95" s="5"/>
      <c r="T95" s="9"/>
      <c r="W95" s="5"/>
      <c r="AB95" s="5"/>
      <c r="AC95" s="5"/>
      <c r="AH95" s="5"/>
      <c r="AI95" s="5"/>
    </row>
    <row r="96">
      <c r="E96" s="5"/>
      <c r="F96" s="5"/>
      <c r="G96" s="5"/>
      <c r="I96" s="5"/>
      <c r="J96" s="5"/>
      <c r="K96" s="5"/>
      <c r="L96" s="5"/>
      <c r="M96" s="5"/>
      <c r="N96" s="5"/>
      <c r="O96" s="5"/>
      <c r="P96" s="5"/>
      <c r="Q96" s="5"/>
      <c r="R96" s="5"/>
      <c r="T96" s="9"/>
      <c r="W96" s="5"/>
      <c r="AB96" s="5"/>
      <c r="AC96" s="5"/>
      <c r="AH96" s="5"/>
      <c r="AI96" s="5"/>
    </row>
    <row r="97">
      <c r="E97" s="5"/>
      <c r="F97" s="5"/>
      <c r="G97" s="5"/>
      <c r="I97" s="5"/>
      <c r="J97" s="5"/>
      <c r="K97" s="5"/>
      <c r="L97" s="5"/>
      <c r="M97" s="5"/>
      <c r="N97" s="5"/>
      <c r="O97" s="5"/>
      <c r="P97" s="5"/>
      <c r="Q97" s="5"/>
      <c r="R97" s="5"/>
      <c r="T97" s="9"/>
      <c r="W97" s="5"/>
      <c r="AB97" s="5"/>
      <c r="AC97" s="5"/>
      <c r="AH97" s="5"/>
      <c r="AI97" s="5"/>
    </row>
    <row r="98">
      <c r="E98" s="5"/>
      <c r="F98" s="5"/>
      <c r="G98" s="5"/>
      <c r="I98" s="5"/>
      <c r="J98" s="5"/>
      <c r="K98" s="5"/>
      <c r="L98" s="5"/>
      <c r="M98" s="5"/>
      <c r="N98" s="5"/>
      <c r="O98" s="5"/>
      <c r="P98" s="5"/>
      <c r="Q98" s="5"/>
      <c r="R98" s="5"/>
      <c r="T98" s="9"/>
      <c r="W98" s="5"/>
      <c r="AB98" s="5"/>
      <c r="AC98" s="5"/>
      <c r="AH98" s="5"/>
      <c r="AI98" s="5"/>
    </row>
    <row r="99">
      <c r="E99" s="5"/>
      <c r="F99" s="5"/>
      <c r="G99" s="5"/>
      <c r="I99" s="5"/>
      <c r="J99" s="5"/>
      <c r="K99" s="5"/>
      <c r="L99" s="5"/>
      <c r="M99" s="5"/>
      <c r="N99" s="5"/>
      <c r="O99" s="5"/>
      <c r="P99" s="5"/>
      <c r="Q99" s="5"/>
      <c r="R99" s="5"/>
      <c r="T99" s="9"/>
      <c r="W99" s="5"/>
      <c r="AB99" s="5"/>
      <c r="AC99" s="5"/>
      <c r="AH99" s="5"/>
      <c r="AI99" s="5"/>
    </row>
    <row r="100">
      <c r="E100" s="5"/>
      <c r="F100" s="5"/>
      <c r="G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T100" s="9"/>
      <c r="W100" s="5"/>
      <c r="AB100" s="5"/>
      <c r="AC100" s="5"/>
      <c r="AH100" s="5"/>
      <c r="AI100" s="5"/>
    </row>
    <row r="101">
      <c r="E101" s="5"/>
      <c r="F101" s="5"/>
      <c r="G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T101" s="9"/>
      <c r="W101" s="5"/>
      <c r="AB101" s="5"/>
      <c r="AC101" s="5"/>
      <c r="AH101" s="5"/>
      <c r="AI101" s="5"/>
    </row>
    <row r="102">
      <c r="E102" s="5"/>
      <c r="F102" s="5"/>
      <c r="G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T102" s="9"/>
      <c r="W102" s="5"/>
      <c r="AB102" s="5"/>
      <c r="AC102" s="5"/>
      <c r="AH102" s="5"/>
      <c r="AI102" s="5"/>
    </row>
    <row r="103">
      <c r="E103" s="5"/>
      <c r="F103" s="5"/>
      <c r="G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T103" s="9"/>
      <c r="W103" s="5"/>
      <c r="AB103" s="5"/>
      <c r="AC103" s="5"/>
      <c r="AH103" s="5"/>
      <c r="AI103" s="5"/>
    </row>
    <row r="104">
      <c r="E104" s="5"/>
      <c r="F104" s="5"/>
      <c r="G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T104" s="9"/>
      <c r="W104" s="5"/>
      <c r="AB104" s="5"/>
      <c r="AC104" s="5"/>
      <c r="AH104" s="5"/>
      <c r="AI104" s="5"/>
    </row>
    <row r="105">
      <c r="E105" s="5"/>
      <c r="F105" s="5"/>
      <c r="G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T105" s="9"/>
      <c r="W105" s="5"/>
      <c r="AB105" s="5"/>
      <c r="AC105" s="5"/>
      <c r="AH105" s="5"/>
      <c r="AI105" s="5"/>
    </row>
    <row r="106">
      <c r="E106" s="5"/>
      <c r="F106" s="5"/>
      <c r="G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T106" s="9"/>
      <c r="W106" s="5"/>
      <c r="AB106" s="5"/>
      <c r="AC106" s="5"/>
      <c r="AH106" s="5"/>
      <c r="AI106" s="5"/>
    </row>
    <row r="107">
      <c r="E107" s="5"/>
      <c r="F107" s="5"/>
      <c r="G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T107" s="9"/>
      <c r="W107" s="5"/>
      <c r="AB107" s="5"/>
      <c r="AC107" s="5"/>
      <c r="AH107" s="5"/>
      <c r="AI107" s="5"/>
    </row>
    <row r="108">
      <c r="E108" s="5"/>
      <c r="F108" s="5"/>
      <c r="G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T108" s="9"/>
      <c r="W108" s="5"/>
      <c r="AB108" s="5"/>
      <c r="AC108" s="5"/>
      <c r="AH108" s="5"/>
      <c r="AI108" s="5"/>
    </row>
    <row r="109">
      <c r="E109" s="5"/>
      <c r="F109" s="5"/>
      <c r="G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T109" s="9"/>
      <c r="W109" s="5"/>
      <c r="AB109" s="5"/>
      <c r="AC109" s="5"/>
      <c r="AH109" s="5"/>
      <c r="AI109" s="5"/>
    </row>
    <row r="110">
      <c r="E110" s="5"/>
      <c r="F110" s="5"/>
      <c r="G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T110" s="9"/>
      <c r="W110" s="5"/>
      <c r="AB110" s="5"/>
      <c r="AC110" s="5"/>
      <c r="AH110" s="5"/>
      <c r="AI110" s="5"/>
    </row>
    <row r="111">
      <c r="E111" s="5"/>
      <c r="F111" s="5"/>
      <c r="G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T111" s="9"/>
      <c r="W111" s="5"/>
      <c r="AB111" s="5"/>
      <c r="AC111" s="5"/>
      <c r="AH111" s="5"/>
      <c r="AI111" s="5"/>
    </row>
    <row r="112">
      <c r="E112" s="5"/>
      <c r="F112" s="5"/>
      <c r="G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T112" s="9"/>
      <c r="W112" s="5"/>
      <c r="AB112" s="5"/>
      <c r="AC112" s="5"/>
      <c r="AH112" s="5"/>
      <c r="AI112" s="5"/>
    </row>
    <row r="113">
      <c r="E113" s="5"/>
      <c r="F113" s="5"/>
      <c r="G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T113" s="9"/>
      <c r="W113" s="5"/>
      <c r="AB113" s="5"/>
      <c r="AC113" s="5"/>
      <c r="AH113" s="5"/>
      <c r="AI113" s="5"/>
    </row>
    <row r="114">
      <c r="E114" s="5"/>
      <c r="F114" s="5"/>
      <c r="G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T114" s="9"/>
      <c r="W114" s="5"/>
      <c r="AB114" s="5"/>
      <c r="AC114" s="5"/>
      <c r="AH114" s="5"/>
      <c r="AI114" s="5"/>
    </row>
    <row r="115">
      <c r="E115" s="5"/>
      <c r="F115" s="5"/>
      <c r="G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T115" s="9"/>
      <c r="W115" s="5"/>
      <c r="AB115" s="5"/>
      <c r="AC115" s="5"/>
      <c r="AH115" s="5"/>
      <c r="AI115" s="5"/>
    </row>
    <row r="116">
      <c r="E116" s="5"/>
      <c r="F116" s="5"/>
      <c r="G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T116" s="9"/>
      <c r="W116" s="5"/>
      <c r="AB116" s="5"/>
      <c r="AC116" s="5"/>
      <c r="AH116" s="5"/>
      <c r="AI116" s="5"/>
    </row>
    <row r="117">
      <c r="E117" s="5"/>
      <c r="F117" s="5"/>
      <c r="G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T117" s="9"/>
      <c r="W117" s="5"/>
      <c r="AB117" s="5"/>
      <c r="AC117" s="5"/>
      <c r="AH117" s="5"/>
      <c r="AI117" s="5"/>
    </row>
    <row r="118">
      <c r="E118" s="5"/>
      <c r="F118" s="5"/>
      <c r="G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T118" s="9"/>
      <c r="W118" s="5"/>
      <c r="AB118" s="5"/>
      <c r="AC118" s="5"/>
      <c r="AH118" s="5"/>
      <c r="AI118" s="5"/>
    </row>
    <row r="119">
      <c r="E119" s="5"/>
      <c r="F119" s="5"/>
      <c r="G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T119" s="9"/>
      <c r="W119" s="5"/>
      <c r="AB119" s="5"/>
      <c r="AC119" s="5"/>
      <c r="AH119" s="5"/>
      <c r="AI119" s="5"/>
    </row>
    <row r="120">
      <c r="E120" s="5"/>
      <c r="F120" s="5"/>
      <c r="G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T120" s="9"/>
      <c r="W120" s="5"/>
      <c r="AB120" s="5"/>
      <c r="AC120" s="5"/>
      <c r="AH120" s="5"/>
      <c r="AI120" s="5"/>
    </row>
    <row r="121">
      <c r="E121" s="5"/>
      <c r="F121" s="5"/>
      <c r="G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T121" s="9"/>
      <c r="W121" s="5"/>
      <c r="AB121" s="5"/>
      <c r="AC121" s="5"/>
      <c r="AH121" s="5"/>
      <c r="AI121" s="5"/>
    </row>
    <row r="122">
      <c r="E122" s="5"/>
      <c r="F122" s="5"/>
      <c r="G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T122" s="9"/>
      <c r="W122" s="5"/>
      <c r="AB122" s="5"/>
      <c r="AC122" s="5"/>
      <c r="AH122" s="5"/>
      <c r="AI122" s="5"/>
    </row>
    <row r="123">
      <c r="E123" s="5"/>
      <c r="F123" s="5"/>
      <c r="G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T123" s="9"/>
      <c r="W123" s="5"/>
      <c r="AB123" s="5"/>
      <c r="AC123" s="5"/>
      <c r="AH123" s="5"/>
      <c r="AI123" s="5"/>
    </row>
    <row r="124">
      <c r="E124" s="5"/>
      <c r="F124" s="5"/>
      <c r="G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T124" s="9"/>
      <c r="W124" s="5"/>
      <c r="AB124" s="5"/>
      <c r="AC124" s="5"/>
      <c r="AH124" s="5"/>
      <c r="AI124" s="5"/>
    </row>
    <row r="125">
      <c r="E125" s="5"/>
      <c r="F125" s="5"/>
      <c r="G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T125" s="9"/>
      <c r="W125" s="5"/>
      <c r="AB125" s="5"/>
      <c r="AC125" s="5"/>
      <c r="AH125" s="5"/>
      <c r="AI125" s="5"/>
    </row>
    <row r="126">
      <c r="E126" s="5"/>
      <c r="F126" s="5"/>
      <c r="G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T126" s="9"/>
      <c r="W126" s="5"/>
      <c r="AB126" s="5"/>
      <c r="AC126" s="5"/>
      <c r="AH126" s="5"/>
      <c r="AI126" s="5"/>
    </row>
    <row r="127">
      <c r="E127" s="5"/>
      <c r="F127" s="5"/>
      <c r="G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T127" s="9"/>
      <c r="W127" s="5"/>
      <c r="AB127" s="5"/>
      <c r="AC127" s="5"/>
      <c r="AH127" s="5"/>
      <c r="AI127" s="5"/>
    </row>
    <row r="128">
      <c r="E128" s="5"/>
      <c r="F128" s="5"/>
      <c r="G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T128" s="9"/>
      <c r="W128" s="5"/>
      <c r="AB128" s="5"/>
      <c r="AC128" s="5"/>
      <c r="AH128" s="5"/>
      <c r="AI128" s="5"/>
    </row>
    <row r="129">
      <c r="E129" s="5"/>
      <c r="F129" s="5"/>
      <c r="G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T129" s="9"/>
      <c r="W129" s="5"/>
      <c r="AB129" s="5"/>
      <c r="AC129" s="5"/>
      <c r="AH129" s="5"/>
      <c r="AI129" s="5"/>
    </row>
    <row r="130">
      <c r="E130" s="5"/>
      <c r="F130" s="5"/>
      <c r="G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T130" s="9"/>
      <c r="W130" s="5"/>
      <c r="AB130" s="5"/>
      <c r="AC130" s="5"/>
      <c r="AH130" s="5"/>
      <c r="AI130" s="5"/>
    </row>
    <row r="131">
      <c r="E131" s="5"/>
      <c r="F131" s="5"/>
      <c r="G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T131" s="9"/>
      <c r="W131" s="5"/>
      <c r="AB131" s="5"/>
      <c r="AC131" s="5"/>
      <c r="AH131" s="5"/>
      <c r="AI131" s="5"/>
    </row>
    <row r="132">
      <c r="E132" s="5"/>
      <c r="F132" s="5"/>
      <c r="G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T132" s="9"/>
      <c r="W132" s="5"/>
      <c r="AB132" s="5"/>
      <c r="AC132" s="5"/>
      <c r="AH132" s="5"/>
      <c r="AI132" s="5"/>
    </row>
    <row r="133">
      <c r="E133" s="5"/>
      <c r="F133" s="5"/>
      <c r="G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T133" s="9"/>
      <c r="W133" s="5"/>
      <c r="AB133" s="5"/>
      <c r="AC133" s="5"/>
      <c r="AH133" s="5"/>
      <c r="AI133" s="5"/>
    </row>
    <row r="134">
      <c r="E134" s="5"/>
      <c r="F134" s="5"/>
      <c r="G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T134" s="9"/>
      <c r="W134" s="5"/>
      <c r="AB134" s="5"/>
      <c r="AC134" s="5"/>
      <c r="AH134" s="5"/>
      <c r="AI134" s="5"/>
    </row>
    <row r="135">
      <c r="E135" s="5"/>
      <c r="F135" s="5"/>
      <c r="G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T135" s="9"/>
      <c r="W135" s="5"/>
      <c r="AB135" s="5"/>
      <c r="AC135" s="5"/>
      <c r="AH135" s="5"/>
      <c r="AI135" s="5"/>
    </row>
    <row r="136">
      <c r="E136" s="5"/>
      <c r="F136" s="5"/>
      <c r="G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T136" s="9"/>
      <c r="W136" s="5"/>
      <c r="AB136" s="5"/>
      <c r="AC136" s="5"/>
      <c r="AH136" s="5"/>
      <c r="AI136" s="5"/>
    </row>
    <row r="137">
      <c r="E137" s="5"/>
      <c r="F137" s="5"/>
      <c r="G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T137" s="9"/>
      <c r="W137" s="5"/>
      <c r="AB137" s="5"/>
      <c r="AC137" s="5"/>
      <c r="AH137" s="5"/>
      <c r="AI137" s="5"/>
    </row>
    <row r="138">
      <c r="E138" s="5"/>
      <c r="F138" s="5"/>
      <c r="G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T138" s="9"/>
      <c r="W138" s="5"/>
      <c r="AB138" s="5"/>
      <c r="AC138" s="5"/>
      <c r="AH138" s="5"/>
      <c r="AI138" s="5"/>
    </row>
    <row r="139">
      <c r="E139" s="5"/>
      <c r="F139" s="5"/>
      <c r="G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T139" s="9"/>
      <c r="W139" s="5"/>
      <c r="AB139" s="5"/>
      <c r="AC139" s="5"/>
      <c r="AH139" s="5"/>
      <c r="AI139" s="5"/>
    </row>
    <row r="140">
      <c r="E140" s="5"/>
      <c r="F140" s="5"/>
      <c r="G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T140" s="9"/>
      <c r="W140" s="5"/>
      <c r="AB140" s="5"/>
      <c r="AC140" s="5"/>
      <c r="AH140" s="5"/>
      <c r="AI140" s="5"/>
    </row>
    <row r="141">
      <c r="E141" s="5"/>
      <c r="F141" s="5"/>
      <c r="G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T141" s="9"/>
      <c r="W141" s="5"/>
      <c r="AB141" s="5"/>
      <c r="AC141" s="5"/>
      <c r="AH141" s="5"/>
      <c r="AI141" s="5"/>
    </row>
    <row r="142">
      <c r="E142" s="5"/>
      <c r="F142" s="5"/>
      <c r="G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T142" s="9"/>
      <c r="W142" s="5"/>
      <c r="AB142" s="5"/>
      <c r="AC142" s="5"/>
      <c r="AH142" s="5"/>
      <c r="AI142" s="5"/>
    </row>
    <row r="143">
      <c r="E143" s="5"/>
      <c r="F143" s="5"/>
      <c r="G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T143" s="9"/>
      <c r="W143" s="5"/>
      <c r="AB143" s="5"/>
      <c r="AC143" s="5"/>
      <c r="AH143" s="5"/>
      <c r="AI143" s="5"/>
    </row>
    <row r="144">
      <c r="E144" s="5"/>
      <c r="F144" s="5"/>
      <c r="G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T144" s="9"/>
      <c r="W144" s="5"/>
      <c r="AB144" s="5"/>
      <c r="AC144" s="5"/>
      <c r="AH144" s="5"/>
      <c r="AI144" s="5"/>
    </row>
    <row r="145">
      <c r="E145" s="5"/>
      <c r="F145" s="5"/>
      <c r="G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T145" s="9"/>
      <c r="W145" s="5"/>
      <c r="AB145" s="5"/>
      <c r="AC145" s="5"/>
      <c r="AH145" s="5"/>
      <c r="AI145" s="5"/>
    </row>
    <row r="146">
      <c r="E146" s="5"/>
      <c r="F146" s="5"/>
      <c r="G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T146" s="9"/>
      <c r="W146" s="5"/>
      <c r="AB146" s="5"/>
      <c r="AC146" s="5"/>
      <c r="AH146" s="5"/>
      <c r="AI146" s="5"/>
    </row>
    <row r="147">
      <c r="E147" s="5"/>
      <c r="F147" s="5"/>
      <c r="G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T147" s="9"/>
      <c r="W147" s="5"/>
      <c r="AB147" s="5"/>
      <c r="AC147" s="5"/>
      <c r="AH147" s="5"/>
      <c r="AI147" s="5"/>
    </row>
    <row r="148">
      <c r="E148" s="5"/>
      <c r="F148" s="5"/>
      <c r="G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T148" s="9"/>
      <c r="W148" s="5"/>
      <c r="AB148" s="5"/>
      <c r="AC148" s="5"/>
      <c r="AH148" s="5"/>
      <c r="AI148" s="5"/>
    </row>
    <row r="149">
      <c r="E149" s="5"/>
      <c r="F149" s="5"/>
      <c r="G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T149" s="9"/>
      <c r="W149" s="5"/>
      <c r="AB149" s="5"/>
      <c r="AC149" s="5"/>
      <c r="AH149" s="5"/>
      <c r="AI149" s="5"/>
    </row>
    <row r="150">
      <c r="E150" s="5"/>
      <c r="F150" s="5"/>
      <c r="G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T150" s="9"/>
      <c r="W150" s="5"/>
      <c r="AB150" s="5"/>
      <c r="AC150" s="5"/>
      <c r="AH150" s="5"/>
      <c r="AI150" s="5"/>
    </row>
    <row r="151">
      <c r="E151" s="5"/>
      <c r="F151" s="5"/>
      <c r="G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T151" s="9"/>
      <c r="W151" s="5"/>
      <c r="AB151" s="5"/>
      <c r="AC151" s="5"/>
      <c r="AH151" s="5"/>
      <c r="AI151" s="5"/>
    </row>
    <row r="152">
      <c r="E152" s="5"/>
      <c r="F152" s="5"/>
      <c r="G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T152" s="9"/>
      <c r="W152" s="5"/>
      <c r="AB152" s="5"/>
      <c r="AC152" s="5"/>
      <c r="AH152" s="5"/>
      <c r="AI152" s="5"/>
    </row>
    <row r="153">
      <c r="E153" s="5"/>
      <c r="F153" s="5"/>
      <c r="G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T153" s="9"/>
      <c r="W153" s="5"/>
      <c r="AB153" s="5"/>
      <c r="AC153" s="5"/>
      <c r="AH153" s="5"/>
      <c r="AI153" s="5"/>
    </row>
    <row r="154">
      <c r="E154" s="5"/>
      <c r="F154" s="5"/>
      <c r="G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T154" s="9"/>
      <c r="W154" s="5"/>
      <c r="AB154" s="5"/>
      <c r="AC154" s="5"/>
      <c r="AH154" s="5"/>
      <c r="AI154" s="5"/>
    </row>
    <row r="155">
      <c r="E155" s="5"/>
      <c r="F155" s="5"/>
      <c r="G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T155" s="9"/>
      <c r="W155" s="5"/>
      <c r="AB155" s="5"/>
      <c r="AC155" s="5"/>
      <c r="AH155" s="5"/>
      <c r="AI155" s="5"/>
    </row>
    <row r="156">
      <c r="E156" s="5"/>
      <c r="F156" s="5"/>
      <c r="G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T156" s="9"/>
      <c r="W156" s="5"/>
      <c r="AB156" s="5"/>
      <c r="AC156" s="5"/>
      <c r="AH156" s="5"/>
      <c r="AI156" s="5"/>
    </row>
    <row r="157">
      <c r="E157" s="5"/>
      <c r="F157" s="5"/>
      <c r="G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T157" s="9"/>
      <c r="W157" s="5"/>
      <c r="AB157" s="5"/>
      <c r="AC157" s="5"/>
      <c r="AH157" s="5"/>
      <c r="AI157" s="5"/>
    </row>
    <row r="158">
      <c r="E158" s="5"/>
      <c r="F158" s="5"/>
      <c r="G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T158" s="9"/>
      <c r="W158" s="5"/>
      <c r="AB158" s="5"/>
      <c r="AC158" s="5"/>
      <c r="AH158" s="5"/>
      <c r="AI158" s="5"/>
    </row>
    <row r="159">
      <c r="E159" s="5"/>
      <c r="F159" s="5"/>
      <c r="G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T159" s="9"/>
      <c r="W159" s="5"/>
      <c r="AB159" s="5"/>
      <c r="AC159" s="5"/>
      <c r="AH159" s="5"/>
      <c r="AI159" s="5"/>
    </row>
    <row r="160">
      <c r="E160" s="5"/>
      <c r="F160" s="5"/>
      <c r="G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T160" s="9"/>
      <c r="W160" s="5"/>
      <c r="AB160" s="5"/>
      <c r="AC160" s="5"/>
      <c r="AH160" s="5"/>
      <c r="AI160" s="5"/>
    </row>
    <row r="161">
      <c r="E161" s="5"/>
      <c r="F161" s="5"/>
      <c r="G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T161" s="9"/>
      <c r="W161" s="5"/>
      <c r="AB161" s="5"/>
      <c r="AC161" s="5"/>
      <c r="AH161" s="5"/>
      <c r="AI161" s="5"/>
    </row>
    <row r="162">
      <c r="E162" s="5"/>
      <c r="F162" s="5"/>
      <c r="G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T162" s="9"/>
      <c r="W162" s="5"/>
      <c r="AB162" s="5"/>
      <c r="AC162" s="5"/>
      <c r="AH162" s="5"/>
      <c r="AI162" s="5"/>
    </row>
    <row r="163">
      <c r="E163" s="5"/>
      <c r="F163" s="5"/>
      <c r="G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T163" s="9"/>
      <c r="W163" s="5"/>
      <c r="AB163" s="5"/>
      <c r="AC163" s="5"/>
      <c r="AH163" s="5"/>
      <c r="AI163" s="5"/>
    </row>
    <row r="164">
      <c r="E164" s="5"/>
      <c r="F164" s="5"/>
      <c r="G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T164" s="9"/>
      <c r="W164" s="5"/>
      <c r="AB164" s="5"/>
      <c r="AC164" s="5"/>
      <c r="AH164" s="5"/>
      <c r="AI164" s="5"/>
    </row>
    <row r="165">
      <c r="E165" s="5"/>
      <c r="F165" s="5"/>
      <c r="G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T165" s="9"/>
      <c r="W165" s="5"/>
      <c r="AB165" s="5"/>
      <c r="AC165" s="5"/>
      <c r="AH165" s="5"/>
      <c r="AI165" s="5"/>
    </row>
    <row r="166">
      <c r="E166" s="5"/>
      <c r="F166" s="5"/>
      <c r="G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T166" s="9"/>
      <c r="W166" s="5"/>
      <c r="AB166" s="5"/>
      <c r="AC166" s="5"/>
      <c r="AH166" s="5"/>
      <c r="AI166" s="5"/>
    </row>
    <row r="167">
      <c r="E167" s="5"/>
      <c r="F167" s="5"/>
      <c r="G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T167" s="9"/>
      <c r="W167" s="5"/>
      <c r="AB167" s="5"/>
      <c r="AC167" s="5"/>
      <c r="AH167" s="5"/>
      <c r="AI167" s="5"/>
    </row>
    <row r="168">
      <c r="E168" s="5"/>
      <c r="F168" s="5"/>
      <c r="G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T168" s="9"/>
      <c r="W168" s="5"/>
      <c r="AB168" s="5"/>
      <c r="AC168" s="5"/>
      <c r="AH168" s="5"/>
      <c r="AI168" s="5"/>
    </row>
    <row r="169">
      <c r="E169" s="5"/>
      <c r="F169" s="5"/>
      <c r="G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T169" s="9"/>
      <c r="W169" s="5"/>
      <c r="AB169" s="5"/>
      <c r="AC169" s="5"/>
      <c r="AH169" s="5"/>
      <c r="AI169" s="5"/>
    </row>
    <row r="170">
      <c r="E170" s="5"/>
      <c r="F170" s="5"/>
      <c r="G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T170" s="9"/>
      <c r="W170" s="5"/>
      <c r="AB170" s="5"/>
      <c r="AC170" s="5"/>
      <c r="AH170" s="5"/>
      <c r="AI170" s="5"/>
    </row>
    <row r="171">
      <c r="E171" s="5"/>
      <c r="F171" s="5"/>
      <c r="G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T171" s="9"/>
      <c r="W171" s="5"/>
      <c r="AB171" s="5"/>
      <c r="AC171" s="5"/>
      <c r="AH171" s="5"/>
      <c r="AI171" s="5"/>
    </row>
    <row r="172">
      <c r="E172" s="5"/>
      <c r="F172" s="5"/>
      <c r="G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T172" s="9"/>
      <c r="W172" s="5"/>
      <c r="AB172" s="5"/>
      <c r="AC172" s="5"/>
      <c r="AH172" s="5"/>
      <c r="AI172" s="5"/>
    </row>
    <row r="173">
      <c r="E173" s="5"/>
      <c r="F173" s="5"/>
      <c r="G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T173" s="9"/>
      <c r="W173" s="5"/>
      <c r="AB173" s="5"/>
      <c r="AC173" s="5"/>
      <c r="AH173" s="5"/>
      <c r="AI173" s="5"/>
    </row>
    <row r="174">
      <c r="E174" s="5"/>
      <c r="F174" s="5"/>
      <c r="G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T174" s="9"/>
      <c r="W174" s="5"/>
      <c r="AB174" s="5"/>
      <c r="AC174" s="5"/>
      <c r="AH174" s="5"/>
      <c r="AI174" s="5"/>
    </row>
    <row r="175">
      <c r="E175" s="5"/>
      <c r="F175" s="5"/>
      <c r="G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T175" s="9"/>
      <c r="W175" s="5"/>
      <c r="AB175" s="5"/>
      <c r="AC175" s="5"/>
      <c r="AH175" s="5"/>
      <c r="AI175" s="5"/>
    </row>
    <row r="176">
      <c r="E176" s="5"/>
      <c r="F176" s="5"/>
      <c r="G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T176" s="9"/>
      <c r="W176" s="5"/>
      <c r="AB176" s="5"/>
      <c r="AC176" s="5"/>
      <c r="AH176" s="5"/>
      <c r="AI176" s="5"/>
    </row>
    <row r="177">
      <c r="E177" s="5"/>
      <c r="F177" s="5"/>
      <c r="G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T177" s="9"/>
      <c r="W177" s="5"/>
      <c r="AB177" s="5"/>
      <c r="AC177" s="5"/>
      <c r="AH177" s="5"/>
      <c r="AI177" s="5"/>
    </row>
    <row r="178">
      <c r="E178" s="5"/>
      <c r="F178" s="5"/>
      <c r="G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T178" s="9"/>
      <c r="W178" s="5"/>
      <c r="AB178" s="5"/>
      <c r="AC178" s="5"/>
      <c r="AH178" s="5"/>
      <c r="AI178" s="5"/>
    </row>
    <row r="179">
      <c r="E179" s="5"/>
      <c r="F179" s="5"/>
      <c r="G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T179" s="9"/>
      <c r="W179" s="5"/>
      <c r="AB179" s="5"/>
      <c r="AC179" s="5"/>
      <c r="AH179" s="5"/>
      <c r="AI179" s="5"/>
    </row>
    <row r="180">
      <c r="E180" s="5"/>
      <c r="F180" s="5"/>
      <c r="G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T180" s="9"/>
      <c r="W180" s="5"/>
      <c r="AB180" s="5"/>
      <c r="AC180" s="5"/>
      <c r="AH180" s="5"/>
      <c r="AI180" s="5"/>
    </row>
    <row r="181">
      <c r="E181" s="5"/>
      <c r="F181" s="5"/>
      <c r="G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T181" s="9"/>
      <c r="W181" s="5"/>
      <c r="AB181" s="5"/>
      <c r="AC181" s="5"/>
      <c r="AH181" s="5"/>
      <c r="AI181" s="5"/>
    </row>
    <row r="182">
      <c r="E182" s="5"/>
      <c r="F182" s="5"/>
      <c r="G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T182" s="9"/>
      <c r="W182" s="5"/>
      <c r="AB182" s="5"/>
      <c r="AC182" s="5"/>
      <c r="AH182" s="5"/>
      <c r="AI182" s="5"/>
    </row>
    <row r="183">
      <c r="E183" s="5"/>
      <c r="F183" s="5"/>
      <c r="G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T183" s="9"/>
      <c r="W183" s="5"/>
      <c r="AB183" s="5"/>
      <c r="AC183" s="5"/>
      <c r="AH183" s="5"/>
      <c r="AI183" s="5"/>
    </row>
    <row r="184">
      <c r="E184" s="5"/>
      <c r="F184" s="5"/>
      <c r="G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T184" s="9"/>
      <c r="W184" s="5"/>
      <c r="AB184" s="5"/>
      <c r="AC184" s="5"/>
      <c r="AH184" s="5"/>
      <c r="AI184" s="5"/>
    </row>
    <row r="185">
      <c r="E185" s="5"/>
      <c r="F185" s="5"/>
      <c r="G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T185" s="9"/>
      <c r="W185" s="5"/>
      <c r="AB185" s="5"/>
      <c r="AC185" s="5"/>
      <c r="AH185" s="5"/>
      <c r="AI185" s="5"/>
    </row>
    <row r="186">
      <c r="E186" s="5"/>
      <c r="F186" s="5"/>
      <c r="G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T186" s="9"/>
      <c r="W186" s="5"/>
      <c r="AB186" s="5"/>
      <c r="AC186" s="5"/>
      <c r="AH186" s="5"/>
      <c r="AI186" s="5"/>
    </row>
    <row r="187">
      <c r="E187" s="5"/>
      <c r="F187" s="5"/>
      <c r="G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T187" s="9"/>
      <c r="W187" s="5"/>
      <c r="AB187" s="5"/>
      <c r="AC187" s="5"/>
      <c r="AH187" s="5"/>
      <c r="AI187" s="5"/>
    </row>
    <row r="188">
      <c r="E188" s="5"/>
      <c r="F188" s="5"/>
      <c r="G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T188" s="9"/>
      <c r="W188" s="5"/>
      <c r="AB188" s="5"/>
      <c r="AC188" s="5"/>
      <c r="AH188" s="5"/>
      <c r="AI188" s="5"/>
    </row>
    <row r="189">
      <c r="E189" s="5"/>
      <c r="F189" s="5"/>
      <c r="G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T189" s="9"/>
      <c r="W189" s="5"/>
      <c r="AB189" s="5"/>
      <c r="AC189" s="5"/>
      <c r="AH189" s="5"/>
      <c r="AI189" s="5"/>
    </row>
    <row r="190">
      <c r="E190" s="5"/>
      <c r="F190" s="5"/>
      <c r="G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T190" s="9"/>
      <c r="W190" s="5"/>
      <c r="AB190" s="5"/>
      <c r="AC190" s="5"/>
      <c r="AH190" s="5"/>
      <c r="AI190" s="5"/>
    </row>
    <row r="191">
      <c r="E191" s="5"/>
      <c r="F191" s="5"/>
      <c r="G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T191" s="9"/>
      <c r="W191" s="5"/>
      <c r="AB191" s="5"/>
      <c r="AC191" s="5"/>
      <c r="AH191" s="5"/>
      <c r="AI191" s="5"/>
    </row>
    <row r="192">
      <c r="E192" s="5"/>
      <c r="F192" s="5"/>
      <c r="G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T192" s="9"/>
      <c r="W192" s="5"/>
      <c r="AB192" s="5"/>
      <c r="AC192" s="5"/>
      <c r="AH192" s="5"/>
      <c r="AI192" s="5"/>
    </row>
    <row r="193">
      <c r="E193" s="5"/>
      <c r="F193" s="5"/>
      <c r="G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T193" s="9"/>
      <c r="W193" s="5"/>
      <c r="AB193" s="5"/>
      <c r="AC193" s="5"/>
      <c r="AH193" s="5"/>
      <c r="AI193" s="5"/>
    </row>
    <row r="194">
      <c r="E194" s="5"/>
      <c r="F194" s="5"/>
      <c r="G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T194" s="9"/>
      <c r="W194" s="5"/>
      <c r="AB194" s="5"/>
      <c r="AC194" s="5"/>
      <c r="AH194" s="5"/>
      <c r="AI194" s="5"/>
    </row>
    <row r="195">
      <c r="E195" s="5"/>
      <c r="F195" s="5"/>
      <c r="G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T195" s="9"/>
      <c r="W195" s="5"/>
      <c r="AB195" s="5"/>
      <c r="AC195" s="5"/>
      <c r="AH195" s="5"/>
      <c r="AI195" s="5"/>
    </row>
    <row r="196">
      <c r="E196" s="5"/>
      <c r="F196" s="5"/>
      <c r="G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T196" s="9"/>
      <c r="W196" s="5"/>
      <c r="AB196" s="5"/>
      <c r="AC196" s="5"/>
      <c r="AH196" s="5"/>
      <c r="AI196" s="5"/>
    </row>
    <row r="197">
      <c r="E197" s="5"/>
      <c r="F197" s="5"/>
      <c r="G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T197" s="9"/>
      <c r="W197" s="5"/>
      <c r="AB197" s="5"/>
      <c r="AC197" s="5"/>
      <c r="AH197" s="5"/>
      <c r="AI197" s="5"/>
    </row>
    <row r="198">
      <c r="E198" s="5"/>
      <c r="F198" s="5"/>
      <c r="G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T198" s="9"/>
      <c r="W198" s="5"/>
      <c r="AB198" s="5"/>
      <c r="AC198" s="5"/>
      <c r="AH198" s="5"/>
      <c r="AI198" s="5"/>
    </row>
    <row r="199">
      <c r="E199" s="5"/>
      <c r="F199" s="5"/>
      <c r="G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T199" s="9"/>
      <c r="W199" s="5"/>
      <c r="AB199" s="5"/>
      <c r="AC199" s="5"/>
      <c r="AH199" s="5"/>
      <c r="AI199" s="5"/>
    </row>
    <row r="200">
      <c r="E200" s="5"/>
      <c r="F200" s="5"/>
      <c r="G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T200" s="9"/>
      <c r="W200" s="5"/>
      <c r="AB200" s="5"/>
      <c r="AC200" s="5"/>
      <c r="AH200" s="5"/>
      <c r="AI200" s="5"/>
    </row>
    <row r="201">
      <c r="E201" s="5"/>
      <c r="F201" s="5"/>
      <c r="G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T201" s="9"/>
      <c r="W201" s="5"/>
      <c r="AB201" s="5"/>
      <c r="AC201" s="5"/>
      <c r="AH201" s="5"/>
      <c r="AI201" s="5"/>
    </row>
    <row r="202">
      <c r="E202" s="5"/>
      <c r="F202" s="5"/>
      <c r="G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T202" s="9"/>
      <c r="W202" s="5"/>
      <c r="AB202" s="5"/>
      <c r="AC202" s="5"/>
      <c r="AH202" s="5"/>
      <c r="AI202" s="5"/>
    </row>
    <row r="203">
      <c r="E203" s="5"/>
      <c r="F203" s="5"/>
      <c r="G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T203" s="9"/>
      <c r="W203" s="5"/>
      <c r="AB203" s="5"/>
      <c r="AC203" s="5"/>
      <c r="AH203" s="5"/>
      <c r="AI203" s="5"/>
    </row>
    <row r="204">
      <c r="E204" s="5"/>
      <c r="F204" s="5"/>
      <c r="G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T204" s="9"/>
      <c r="W204" s="5"/>
      <c r="AB204" s="5"/>
      <c r="AC204" s="5"/>
      <c r="AH204" s="5"/>
      <c r="AI204" s="5"/>
    </row>
    <row r="205">
      <c r="E205" s="5"/>
      <c r="F205" s="5"/>
      <c r="G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T205" s="9"/>
      <c r="W205" s="5"/>
      <c r="AB205" s="5"/>
      <c r="AC205" s="5"/>
      <c r="AH205" s="5"/>
      <c r="AI205" s="5"/>
    </row>
    <row r="206">
      <c r="E206" s="5"/>
      <c r="F206" s="5"/>
      <c r="G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T206" s="9"/>
      <c r="W206" s="5"/>
      <c r="AB206" s="5"/>
      <c r="AC206" s="5"/>
      <c r="AH206" s="5"/>
      <c r="AI206" s="5"/>
    </row>
    <row r="207">
      <c r="E207" s="5"/>
      <c r="F207" s="5"/>
      <c r="G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T207" s="9"/>
      <c r="W207" s="5"/>
      <c r="AB207" s="5"/>
      <c r="AC207" s="5"/>
      <c r="AH207" s="5"/>
      <c r="AI207" s="5"/>
    </row>
    <row r="208">
      <c r="E208" s="5"/>
      <c r="F208" s="5"/>
      <c r="G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T208" s="9"/>
      <c r="W208" s="5"/>
      <c r="AB208" s="5"/>
      <c r="AC208" s="5"/>
      <c r="AH208" s="5"/>
      <c r="AI208" s="5"/>
    </row>
    <row r="209">
      <c r="E209" s="5"/>
      <c r="F209" s="5"/>
      <c r="G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T209" s="9"/>
      <c r="W209" s="5"/>
      <c r="AB209" s="5"/>
      <c r="AC209" s="5"/>
      <c r="AH209" s="5"/>
      <c r="AI209" s="5"/>
    </row>
    <row r="210">
      <c r="E210" s="5"/>
      <c r="F210" s="5"/>
      <c r="G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T210" s="9"/>
      <c r="W210" s="5"/>
      <c r="AB210" s="5"/>
      <c r="AC210" s="5"/>
      <c r="AH210" s="5"/>
      <c r="AI210" s="5"/>
    </row>
    <row r="211">
      <c r="E211" s="5"/>
      <c r="F211" s="5"/>
      <c r="G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T211" s="9"/>
      <c r="W211" s="5"/>
      <c r="AB211" s="5"/>
      <c r="AC211" s="5"/>
      <c r="AH211" s="5"/>
      <c r="AI211" s="5"/>
    </row>
    <row r="212">
      <c r="E212" s="5"/>
      <c r="F212" s="5"/>
      <c r="G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T212" s="9"/>
      <c r="W212" s="5"/>
      <c r="AB212" s="5"/>
      <c r="AC212" s="5"/>
      <c r="AH212" s="5"/>
      <c r="AI212" s="5"/>
    </row>
    <row r="213">
      <c r="E213" s="5"/>
      <c r="F213" s="5"/>
      <c r="G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T213" s="9"/>
      <c r="W213" s="5"/>
      <c r="AB213" s="5"/>
      <c r="AC213" s="5"/>
      <c r="AH213" s="5"/>
      <c r="AI213" s="5"/>
    </row>
    <row r="214">
      <c r="E214" s="5"/>
      <c r="F214" s="5"/>
      <c r="G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T214" s="9"/>
      <c r="W214" s="5"/>
      <c r="AB214" s="5"/>
      <c r="AC214" s="5"/>
      <c r="AH214" s="5"/>
      <c r="AI214" s="5"/>
    </row>
    <row r="215">
      <c r="E215" s="5"/>
      <c r="F215" s="5"/>
      <c r="G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T215" s="9"/>
      <c r="W215" s="5"/>
      <c r="AB215" s="5"/>
      <c r="AC215" s="5"/>
      <c r="AH215" s="5"/>
      <c r="AI215" s="5"/>
    </row>
    <row r="216">
      <c r="E216" s="5"/>
      <c r="F216" s="5"/>
      <c r="G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T216" s="9"/>
      <c r="W216" s="5"/>
      <c r="AB216" s="5"/>
      <c r="AC216" s="5"/>
      <c r="AH216" s="5"/>
      <c r="AI216" s="5"/>
    </row>
    <row r="217">
      <c r="E217" s="5"/>
      <c r="F217" s="5"/>
      <c r="G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T217" s="9"/>
      <c r="W217" s="5"/>
      <c r="AB217" s="5"/>
      <c r="AC217" s="5"/>
      <c r="AH217" s="5"/>
      <c r="AI217" s="5"/>
    </row>
    <row r="218">
      <c r="E218" s="5"/>
      <c r="F218" s="5"/>
      <c r="G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T218" s="9"/>
      <c r="W218" s="5"/>
      <c r="AB218" s="5"/>
      <c r="AC218" s="5"/>
      <c r="AH218" s="5"/>
      <c r="AI218" s="5"/>
    </row>
    <row r="219">
      <c r="E219" s="5"/>
      <c r="F219" s="5"/>
      <c r="G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T219" s="9"/>
      <c r="W219" s="5"/>
      <c r="AB219" s="5"/>
      <c r="AC219" s="5"/>
      <c r="AH219" s="5"/>
      <c r="AI219" s="5"/>
    </row>
    <row r="220">
      <c r="E220" s="5"/>
      <c r="F220" s="5"/>
      <c r="G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T220" s="9"/>
      <c r="W220" s="5"/>
      <c r="AB220" s="5"/>
      <c r="AC220" s="5"/>
      <c r="AH220" s="5"/>
      <c r="AI220" s="5"/>
    </row>
    <row r="221">
      <c r="E221" s="5"/>
      <c r="F221" s="5"/>
      <c r="G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T221" s="9"/>
      <c r="W221" s="5"/>
      <c r="AB221" s="5"/>
      <c r="AC221" s="5"/>
      <c r="AH221" s="5"/>
      <c r="AI221" s="5"/>
    </row>
    <row r="222">
      <c r="E222" s="5"/>
      <c r="F222" s="5"/>
      <c r="G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T222" s="9"/>
      <c r="W222" s="5"/>
      <c r="AB222" s="5"/>
      <c r="AC222" s="5"/>
      <c r="AH222" s="5"/>
      <c r="AI222" s="5"/>
    </row>
    <row r="223">
      <c r="E223" s="5"/>
      <c r="F223" s="5"/>
      <c r="G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T223" s="9"/>
      <c r="W223" s="5"/>
      <c r="AB223" s="5"/>
      <c r="AC223" s="5"/>
      <c r="AH223" s="5"/>
      <c r="AI223" s="5"/>
    </row>
    <row r="224">
      <c r="E224" s="5"/>
      <c r="F224" s="5"/>
      <c r="G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T224" s="9"/>
      <c r="W224" s="5"/>
      <c r="AB224" s="5"/>
      <c r="AC224" s="5"/>
      <c r="AH224" s="5"/>
      <c r="AI224" s="5"/>
    </row>
    <row r="225">
      <c r="E225" s="5"/>
      <c r="F225" s="5"/>
      <c r="G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T225" s="9"/>
      <c r="W225" s="5"/>
      <c r="AB225" s="5"/>
      <c r="AC225" s="5"/>
      <c r="AH225" s="5"/>
      <c r="AI225" s="5"/>
    </row>
    <row r="226">
      <c r="E226" s="5"/>
      <c r="F226" s="5"/>
      <c r="G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T226" s="9"/>
      <c r="W226" s="5"/>
      <c r="AB226" s="5"/>
      <c r="AC226" s="5"/>
      <c r="AH226" s="5"/>
      <c r="AI226" s="5"/>
    </row>
    <row r="227">
      <c r="E227" s="5"/>
      <c r="F227" s="5"/>
      <c r="G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T227" s="9"/>
      <c r="W227" s="5"/>
      <c r="AB227" s="5"/>
      <c r="AC227" s="5"/>
      <c r="AH227" s="5"/>
      <c r="AI227" s="5"/>
    </row>
    <row r="228">
      <c r="E228" s="5"/>
      <c r="F228" s="5"/>
      <c r="G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T228" s="9"/>
      <c r="W228" s="5"/>
      <c r="AB228" s="5"/>
      <c r="AC228" s="5"/>
      <c r="AH228" s="5"/>
      <c r="AI228" s="5"/>
    </row>
    <row r="229">
      <c r="E229" s="5"/>
      <c r="F229" s="5"/>
      <c r="G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T229" s="9"/>
      <c r="W229" s="5"/>
      <c r="AB229" s="5"/>
      <c r="AC229" s="5"/>
      <c r="AH229" s="5"/>
      <c r="AI229" s="5"/>
    </row>
    <row r="230">
      <c r="E230" s="5"/>
      <c r="F230" s="5"/>
      <c r="G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T230" s="9"/>
      <c r="W230" s="5"/>
      <c r="AB230" s="5"/>
      <c r="AC230" s="5"/>
      <c r="AH230" s="5"/>
      <c r="AI230" s="5"/>
    </row>
    <row r="231">
      <c r="E231" s="5"/>
      <c r="F231" s="5"/>
      <c r="G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T231" s="9"/>
      <c r="W231" s="5"/>
      <c r="AB231" s="5"/>
      <c r="AC231" s="5"/>
      <c r="AH231" s="5"/>
      <c r="AI231" s="5"/>
    </row>
    <row r="232">
      <c r="E232" s="5"/>
      <c r="F232" s="5"/>
      <c r="G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T232" s="9"/>
      <c r="W232" s="5"/>
      <c r="AB232" s="5"/>
      <c r="AC232" s="5"/>
      <c r="AH232" s="5"/>
      <c r="AI232" s="5"/>
    </row>
    <row r="233">
      <c r="E233" s="5"/>
      <c r="F233" s="5"/>
      <c r="G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T233" s="9"/>
      <c r="W233" s="5"/>
      <c r="AB233" s="5"/>
      <c r="AC233" s="5"/>
      <c r="AH233" s="5"/>
      <c r="AI233" s="5"/>
    </row>
    <row r="234">
      <c r="E234" s="5"/>
      <c r="F234" s="5"/>
      <c r="G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T234" s="9"/>
      <c r="W234" s="5"/>
      <c r="AB234" s="5"/>
      <c r="AC234" s="5"/>
      <c r="AH234" s="5"/>
      <c r="AI234" s="5"/>
    </row>
    <row r="235">
      <c r="E235" s="5"/>
      <c r="F235" s="5"/>
      <c r="G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T235" s="9"/>
      <c r="W235" s="5"/>
      <c r="AB235" s="5"/>
      <c r="AC235" s="5"/>
      <c r="AH235" s="5"/>
      <c r="AI235" s="5"/>
    </row>
    <row r="236">
      <c r="E236" s="5"/>
      <c r="F236" s="5"/>
      <c r="G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T236" s="9"/>
      <c r="W236" s="5"/>
      <c r="AB236" s="5"/>
      <c r="AC236" s="5"/>
      <c r="AH236" s="5"/>
      <c r="AI236" s="5"/>
    </row>
    <row r="237">
      <c r="E237" s="5"/>
      <c r="F237" s="5"/>
      <c r="G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T237" s="9"/>
      <c r="W237" s="5"/>
      <c r="AB237" s="5"/>
      <c r="AC237" s="5"/>
      <c r="AH237" s="5"/>
      <c r="AI237" s="5"/>
    </row>
    <row r="238">
      <c r="E238" s="5"/>
      <c r="F238" s="5"/>
      <c r="G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T238" s="9"/>
      <c r="W238" s="5"/>
      <c r="AB238" s="5"/>
      <c r="AC238" s="5"/>
      <c r="AH238" s="5"/>
      <c r="AI238" s="5"/>
    </row>
    <row r="239">
      <c r="E239" s="5"/>
      <c r="F239" s="5"/>
      <c r="G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T239" s="9"/>
      <c r="W239" s="5"/>
      <c r="AB239" s="5"/>
      <c r="AC239" s="5"/>
      <c r="AH239" s="5"/>
      <c r="AI239" s="5"/>
    </row>
    <row r="240">
      <c r="E240" s="5"/>
      <c r="F240" s="5"/>
      <c r="G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T240" s="9"/>
      <c r="W240" s="5"/>
      <c r="AB240" s="5"/>
      <c r="AC240" s="5"/>
      <c r="AH240" s="5"/>
      <c r="AI240" s="5"/>
    </row>
    <row r="241">
      <c r="E241" s="5"/>
      <c r="F241" s="5"/>
      <c r="G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T241" s="9"/>
      <c r="W241" s="5"/>
      <c r="AB241" s="5"/>
      <c r="AC241" s="5"/>
      <c r="AH241" s="5"/>
      <c r="AI241" s="5"/>
    </row>
    <row r="242">
      <c r="E242" s="5"/>
      <c r="F242" s="5"/>
      <c r="G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T242" s="9"/>
      <c r="W242" s="5"/>
      <c r="AB242" s="5"/>
      <c r="AC242" s="5"/>
      <c r="AH242" s="5"/>
      <c r="AI242" s="5"/>
    </row>
    <row r="243">
      <c r="E243" s="5"/>
      <c r="F243" s="5"/>
      <c r="G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T243" s="9"/>
      <c r="W243" s="5"/>
      <c r="AB243" s="5"/>
      <c r="AC243" s="5"/>
      <c r="AH243" s="5"/>
      <c r="AI243" s="5"/>
    </row>
    <row r="244">
      <c r="E244" s="5"/>
      <c r="F244" s="5"/>
      <c r="G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T244" s="9"/>
      <c r="W244" s="5"/>
      <c r="AB244" s="5"/>
      <c r="AC244" s="5"/>
      <c r="AH244" s="5"/>
      <c r="AI244" s="5"/>
    </row>
    <row r="245">
      <c r="E245" s="5"/>
      <c r="F245" s="5"/>
      <c r="G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T245" s="9"/>
      <c r="W245" s="5"/>
      <c r="AB245" s="5"/>
      <c r="AC245" s="5"/>
      <c r="AH245" s="5"/>
      <c r="AI245" s="5"/>
    </row>
    <row r="246">
      <c r="E246" s="5"/>
      <c r="F246" s="5"/>
      <c r="G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T246" s="9"/>
      <c r="W246" s="5"/>
      <c r="AB246" s="5"/>
      <c r="AC246" s="5"/>
      <c r="AH246" s="5"/>
      <c r="AI246" s="5"/>
    </row>
    <row r="247">
      <c r="E247" s="5"/>
      <c r="F247" s="5"/>
      <c r="G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T247" s="9"/>
      <c r="W247" s="5"/>
      <c r="AB247" s="5"/>
      <c r="AC247" s="5"/>
      <c r="AH247" s="5"/>
      <c r="AI247" s="5"/>
    </row>
    <row r="248">
      <c r="E248" s="5"/>
      <c r="F248" s="5"/>
      <c r="G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T248" s="9"/>
      <c r="W248" s="5"/>
      <c r="AB248" s="5"/>
      <c r="AC248" s="5"/>
      <c r="AH248" s="5"/>
      <c r="AI248" s="5"/>
    </row>
    <row r="249">
      <c r="E249" s="5"/>
      <c r="F249" s="5"/>
      <c r="G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T249" s="9"/>
      <c r="W249" s="5"/>
      <c r="AB249" s="5"/>
      <c r="AC249" s="5"/>
      <c r="AH249" s="5"/>
      <c r="AI249" s="5"/>
    </row>
    <row r="250">
      <c r="E250" s="5"/>
      <c r="F250" s="5"/>
      <c r="G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T250" s="9"/>
      <c r="W250" s="5"/>
      <c r="AB250" s="5"/>
      <c r="AC250" s="5"/>
      <c r="AH250" s="5"/>
      <c r="AI250" s="5"/>
    </row>
    <row r="251">
      <c r="E251" s="5"/>
      <c r="F251" s="5"/>
      <c r="G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T251" s="9"/>
      <c r="W251" s="5"/>
      <c r="AB251" s="5"/>
      <c r="AC251" s="5"/>
      <c r="AH251" s="5"/>
      <c r="AI251" s="5"/>
    </row>
    <row r="252">
      <c r="E252" s="5"/>
      <c r="F252" s="5"/>
      <c r="G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T252" s="9"/>
      <c r="W252" s="5"/>
      <c r="AB252" s="5"/>
      <c r="AC252" s="5"/>
      <c r="AH252" s="5"/>
      <c r="AI252" s="5"/>
    </row>
    <row r="253">
      <c r="E253" s="5"/>
      <c r="F253" s="5"/>
      <c r="G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T253" s="9"/>
      <c r="W253" s="5"/>
      <c r="AB253" s="5"/>
      <c r="AC253" s="5"/>
      <c r="AH253" s="5"/>
      <c r="AI253" s="5"/>
    </row>
    <row r="254">
      <c r="E254" s="5"/>
      <c r="F254" s="5"/>
      <c r="G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T254" s="9"/>
      <c r="W254" s="5"/>
      <c r="AB254" s="5"/>
      <c r="AC254" s="5"/>
      <c r="AH254" s="5"/>
      <c r="AI254" s="5"/>
    </row>
    <row r="255">
      <c r="E255" s="5"/>
      <c r="F255" s="5"/>
      <c r="G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T255" s="9"/>
      <c r="W255" s="5"/>
      <c r="AB255" s="5"/>
      <c r="AC255" s="5"/>
      <c r="AH255" s="5"/>
      <c r="AI255" s="5"/>
    </row>
    <row r="256">
      <c r="E256" s="5"/>
      <c r="F256" s="5"/>
      <c r="G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T256" s="9"/>
      <c r="W256" s="5"/>
      <c r="AB256" s="5"/>
      <c r="AC256" s="5"/>
      <c r="AH256" s="5"/>
      <c r="AI256" s="5"/>
    </row>
    <row r="257">
      <c r="E257" s="5"/>
      <c r="F257" s="5"/>
      <c r="G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T257" s="9"/>
      <c r="W257" s="5"/>
      <c r="AB257" s="5"/>
      <c r="AC257" s="5"/>
      <c r="AH257" s="5"/>
      <c r="AI257" s="5"/>
    </row>
    <row r="258">
      <c r="E258" s="5"/>
      <c r="F258" s="5"/>
      <c r="G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T258" s="9"/>
      <c r="W258" s="5"/>
      <c r="AB258" s="5"/>
      <c r="AC258" s="5"/>
      <c r="AH258" s="5"/>
      <c r="AI258" s="5"/>
    </row>
    <row r="259">
      <c r="E259" s="5"/>
      <c r="F259" s="5"/>
      <c r="G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T259" s="9"/>
      <c r="W259" s="5"/>
      <c r="AB259" s="5"/>
      <c r="AC259" s="5"/>
      <c r="AH259" s="5"/>
      <c r="AI259" s="5"/>
    </row>
    <row r="260">
      <c r="E260" s="5"/>
      <c r="F260" s="5"/>
      <c r="G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T260" s="9"/>
      <c r="W260" s="5"/>
      <c r="AB260" s="5"/>
      <c r="AC260" s="5"/>
      <c r="AH260" s="5"/>
      <c r="AI260" s="5"/>
    </row>
    <row r="261">
      <c r="E261" s="5"/>
      <c r="F261" s="5"/>
      <c r="G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T261" s="9"/>
      <c r="W261" s="5"/>
      <c r="AB261" s="5"/>
      <c r="AC261" s="5"/>
      <c r="AH261" s="5"/>
      <c r="AI261" s="5"/>
    </row>
    <row r="262">
      <c r="E262" s="5"/>
      <c r="F262" s="5"/>
      <c r="G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T262" s="9"/>
      <c r="W262" s="5"/>
      <c r="AB262" s="5"/>
      <c r="AC262" s="5"/>
      <c r="AH262" s="5"/>
      <c r="AI262" s="5"/>
    </row>
    <row r="263">
      <c r="E263" s="5"/>
      <c r="F263" s="5"/>
      <c r="G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T263" s="9"/>
      <c r="W263" s="5"/>
      <c r="AB263" s="5"/>
      <c r="AC263" s="5"/>
      <c r="AH263" s="5"/>
      <c r="AI263" s="5"/>
    </row>
    <row r="264">
      <c r="E264" s="5"/>
      <c r="F264" s="5"/>
      <c r="G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T264" s="9"/>
      <c r="W264" s="5"/>
      <c r="AB264" s="5"/>
      <c r="AC264" s="5"/>
      <c r="AH264" s="5"/>
      <c r="AI264" s="5"/>
    </row>
    <row r="265">
      <c r="E265" s="5"/>
      <c r="F265" s="5"/>
      <c r="G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T265" s="9"/>
      <c r="W265" s="5"/>
      <c r="AB265" s="5"/>
      <c r="AC265" s="5"/>
      <c r="AH265" s="5"/>
      <c r="AI265" s="5"/>
    </row>
    <row r="266">
      <c r="E266" s="5"/>
      <c r="F266" s="5"/>
      <c r="G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T266" s="9"/>
      <c r="W266" s="5"/>
      <c r="AB266" s="5"/>
      <c r="AC266" s="5"/>
      <c r="AH266" s="5"/>
      <c r="AI266" s="5"/>
    </row>
    <row r="267">
      <c r="E267" s="5"/>
      <c r="F267" s="5"/>
      <c r="G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T267" s="9"/>
      <c r="W267" s="5"/>
      <c r="AB267" s="5"/>
      <c r="AC267" s="5"/>
      <c r="AH267" s="5"/>
      <c r="AI267" s="5"/>
    </row>
    <row r="268">
      <c r="E268" s="5"/>
      <c r="F268" s="5"/>
      <c r="G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T268" s="9"/>
      <c r="W268" s="5"/>
      <c r="AB268" s="5"/>
      <c r="AC268" s="5"/>
      <c r="AH268" s="5"/>
      <c r="AI268" s="5"/>
    </row>
    <row r="269">
      <c r="E269" s="5"/>
      <c r="F269" s="5"/>
      <c r="G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T269" s="9"/>
      <c r="W269" s="5"/>
      <c r="AB269" s="5"/>
      <c r="AC269" s="5"/>
      <c r="AH269" s="5"/>
      <c r="AI269" s="5"/>
    </row>
    <row r="270">
      <c r="E270" s="5"/>
      <c r="F270" s="5"/>
      <c r="G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T270" s="9"/>
      <c r="W270" s="5"/>
      <c r="AB270" s="5"/>
      <c r="AC270" s="5"/>
      <c r="AH270" s="5"/>
      <c r="AI270" s="5"/>
    </row>
    <row r="271">
      <c r="E271" s="5"/>
      <c r="F271" s="5"/>
      <c r="G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T271" s="9"/>
      <c r="W271" s="5"/>
      <c r="AB271" s="5"/>
      <c r="AC271" s="5"/>
      <c r="AH271" s="5"/>
      <c r="AI271" s="5"/>
    </row>
    <row r="272">
      <c r="E272" s="5"/>
      <c r="F272" s="5"/>
      <c r="G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T272" s="9"/>
      <c r="W272" s="5"/>
      <c r="AB272" s="5"/>
      <c r="AC272" s="5"/>
      <c r="AH272" s="5"/>
      <c r="AI272" s="5"/>
    </row>
    <row r="273">
      <c r="E273" s="5"/>
      <c r="F273" s="5"/>
      <c r="G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T273" s="9"/>
      <c r="W273" s="5"/>
      <c r="AB273" s="5"/>
      <c r="AC273" s="5"/>
      <c r="AH273" s="5"/>
      <c r="AI273" s="5"/>
    </row>
    <row r="274">
      <c r="E274" s="5"/>
      <c r="F274" s="5"/>
      <c r="G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T274" s="9"/>
      <c r="W274" s="5"/>
      <c r="AB274" s="5"/>
      <c r="AC274" s="5"/>
      <c r="AH274" s="5"/>
      <c r="AI274" s="5"/>
    </row>
    <row r="275">
      <c r="E275" s="5"/>
      <c r="F275" s="5"/>
      <c r="G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T275" s="9"/>
      <c r="W275" s="5"/>
      <c r="AB275" s="5"/>
      <c r="AC275" s="5"/>
      <c r="AH275" s="5"/>
      <c r="AI275" s="5"/>
    </row>
    <row r="276">
      <c r="E276" s="5"/>
      <c r="F276" s="5"/>
      <c r="G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T276" s="9"/>
      <c r="W276" s="5"/>
      <c r="AB276" s="5"/>
      <c r="AC276" s="5"/>
      <c r="AH276" s="5"/>
      <c r="AI276" s="5"/>
    </row>
    <row r="277">
      <c r="E277" s="5"/>
      <c r="F277" s="5"/>
      <c r="G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T277" s="9"/>
      <c r="W277" s="5"/>
      <c r="AB277" s="5"/>
      <c r="AC277" s="5"/>
      <c r="AH277" s="5"/>
      <c r="AI277" s="5"/>
    </row>
    <row r="278">
      <c r="E278" s="5"/>
      <c r="F278" s="5"/>
      <c r="G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T278" s="9"/>
      <c r="W278" s="5"/>
      <c r="AB278" s="5"/>
      <c r="AC278" s="5"/>
      <c r="AH278" s="5"/>
      <c r="AI278" s="5"/>
    </row>
    <row r="279">
      <c r="E279" s="5"/>
      <c r="F279" s="5"/>
      <c r="G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T279" s="9"/>
      <c r="W279" s="5"/>
      <c r="AB279" s="5"/>
      <c r="AC279" s="5"/>
      <c r="AH279" s="5"/>
      <c r="AI279" s="5"/>
    </row>
    <row r="280">
      <c r="E280" s="5"/>
      <c r="F280" s="5"/>
      <c r="G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T280" s="9"/>
      <c r="W280" s="5"/>
      <c r="AB280" s="5"/>
      <c r="AC280" s="5"/>
      <c r="AH280" s="5"/>
      <c r="AI280" s="5"/>
    </row>
    <row r="281">
      <c r="E281" s="5"/>
      <c r="F281" s="5"/>
      <c r="G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T281" s="9"/>
      <c r="W281" s="5"/>
      <c r="AB281" s="5"/>
      <c r="AC281" s="5"/>
      <c r="AH281" s="5"/>
      <c r="AI281" s="5"/>
    </row>
    <row r="282">
      <c r="E282" s="5"/>
      <c r="F282" s="5"/>
      <c r="G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T282" s="9"/>
      <c r="W282" s="5"/>
      <c r="AB282" s="5"/>
      <c r="AC282" s="5"/>
      <c r="AH282" s="5"/>
      <c r="AI282" s="5"/>
    </row>
    <row r="283">
      <c r="E283" s="5"/>
      <c r="F283" s="5"/>
      <c r="G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T283" s="9"/>
      <c r="W283" s="5"/>
      <c r="AB283" s="5"/>
      <c r="AC283" s="5"/>
      <c r="AH283" s="5"/>
      <c r="AI283" s="5"/>
    </row>
    <row r="284">
      <c r="E284" s="5"/>
      <c r="F284" s="5"/>
      <c r="G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T284" s="9"/>
      <c r="W284" s="5"/>
      <c r="AB284" s="5"/>
      <c r="AC284" s="5"/>
      <c r="AH284" s="5"/>
      <c r="AI284" s="5"/>
    </row>
    <row r="285">
      <c r="E285" s="5"/>
      <c r="F285" s="5"/>
      <c r="G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T285" s="9"/>
      <c r="W285" s="5"/>
      <c r="AB285" s="5"/>
      <c r="AC285" s="5"/>
      <c r="AH285" s="5"/>
      <c r="AI285" s="5"/>
    </row>
    <row r="286">
      <c r="E286" s="5"/>
      <c r="F286" s="5"/>
      <c r="G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T286" s="9"/>
      <c r="W286" s="5"/>
      <c r="AB286" s="5"/>
      <c r="AC286" s="5"/>
      <c r="AH286" s="5"/>
      <c r="AI286" s="5"/>
    </row>
    <row r="287">
      <c r="E287" s="5"/>
      <c r="F287" s="5"/>
      <c r="G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T287" s="9"/>
      <c r="W287" s="5"/>
      <c r="AB287" s="5"/>
      <c r="AC287" s="5"/>
      <c r="AH287" s="5"/>
      <c r="AI287" s="5"/>
    </row>
    <row r="288">
      <c r="E288" s="5"/>
      <c r="F288" s="5"/>
      <c r="G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T288" s="9"/>
      <c r="W288" s="5"/>
      <c r="AB288" s="5"/>
      <c r="AC288" s="5"/>
      <c r="AH288" s="5"/>
      <c r="AI288" s="5"/>
    </row>
    <row r="289">
      <c r="E289" s="5"/>
      <c r="F289" s="5"/>
      <c r="G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T289" s="9"/>
      <c r="W289" s="5"/>
      <c r="AB289" s="5"/>
      <c r="AC289" s="5"/>
      <c r="AH289" s="5"/>
      <c r="AI289" s="5"/>
    </row>
    <row r="290">
      <c r="E290" s="5"/>
      <c r="F290" s="5"/>
      <c r="G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T290" s="9"/>
      <c r="W290" s="5"/>
      <c r="AB290" s="5"/>
      <c r="AC290" s="5"/>
      <c r="AH290" s="5"/>
      <c r="AI290" s="5"/>
    </row>
    <row r="291">
      <c r="E291" s="5"/>
      <c r="F291" s="5"/>
      <c r="G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T291" s="9"/>
      <c r="W291" s="5"/>
      <c r="AB291" s="5"/>
      <c r="AC291" s="5"/>
      <c r="AH291" s="5"/>
      <c r="AI291" s="5"/>
    </row>
    <row r="292">
      <c r="E292" s="5"/>
      <c r="F292" s="5"/>
      <c r="G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T292" s="9"/>
      <c r="W292" s="5"/>
      <c r="AB292" s="5"/>
      <c r="AC292" s="5"/>
      <c r="AH292" s="5"/>
      <c r="AI292" s="5"/>
    </row>
    <row r="293">
      <c r="E293" s="5"/>
      <c r="F293" s="5"/>
      <c r="G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T293" s="9"/>
      <c r="W293" s="5"/>
      <c r="AB293" s="5"/>
      <c r="AC293" s="5"/>
      <c r="AH293" s="5"/>
      <c r="AI293" s="5"/>
    </row>
    <row r="294">
      <c r="E294" s="5"/>
      <c r="F294" s="5"/>
      <c r="G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T294" s="9"/>
      <c r="W294" s="5"/>
      <c r="AB294" s="5"/>
      <c r="AC294" s="5"/>
      <c r="AH294" s="5"/>
      <c r="AI294" s="5"/>
    </row>
    <row r="295">
      <c r="E295" s="5"/>
      <c r="F295" s="5"/>
      <c r="G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T295" s="9"/>
      <c r="W295" s="5"/>
      <c r="AB295" s="5"/>
      <c r="AC295" s="5"/>
      <c r="AH295" s="5"/>
      <c r="AI295" s="5"/>
    </row>
    <row r="296">
      <c r="E296" s="5"/>
      <c r="F296" s="5"/>
      <c r="G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T296" s="9"/>
      <c r="W296" s="5"/>
      <c r="AB296" s="5"/>
      <c r="AC296" s="5"/>
      <c r="AH296" s="5"/>
      <c r="AI296" s="5"/>
    </row>
    <row r="297">
      <c r="E297" s="5"/>
      <c r="F297" s="5"/>
      <c r="G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T297" s="9"/>
      <c r="W297" s="5"/>
      <c r="AB297" s="5"/>
      <c r="AC297" s="5"/>
      <c r="AH297" s="5"/>
      <c r="AI297" s="5"/>
    </row>
    <row r="298">
      <c r="E298" s="5"/>
      <c r="F298" s="5"/>
      <c r="G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T298" s="9"/>
      <c r="W298" s="5"/>
      <c r="AB298" s="5"/>
      <c r="AC298" s="5"/>
      <c r="AH298" s="5"/>
      <c r="AI298" s="5"/>
    </row>
    <row r="299">
      <c r="E299" s="5"/>
      <c r="F299" s="5"/>
      <c r="G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T299" s="9"/>
      <c r="W299" s="5"/>
      <c r="AB299" s="5"/>
      <c r="AC299" s="5"/>
      <c r="AH299" s="5"/>
      <c r="AI299" s="5"/>
    </row>
    <row r="300">
      <c r="E300" s="5"/>
      <c r="F300" s="5"/>
      <c r="G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T300" s="9"/>
      <c r="W300" s="5"/>
      <c r="AB300" s="5"/>
      <c r="AC300" s="5"/>
      <c r="AH300" s="5"/>
      <c r="AI300" s="5"/>
    </row>
    <row r="301">
      <c r="E301" s="5"/>
      <c r="F301" s="5"/>
      <c r="G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T301" s="9"/>
      <c r="W301" s="5"/>
      <c r="AB301" s="5"/>
      <c r="AC301" s="5"/>
      <c r="AH301" s="5"/>
      <c r="AI301" s="5"/>
    </row>
    <row r="302">
      <c r="E302" s="5"/>
      <c r="F302" s="5"/>
      <c r="G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T302" s="9"/>
      <c r="W302" s="5"/>
      <c r="AB302" s="5"/>
      <c r="AC302" s="5"/>
      <c r="AH302" s="5"/>
      <c r="AI302" s="5"/>
    </row>
    <row r="303">
      <c r="E303" s="5"/>
      <c r="F303" s="5"/>
      <c r="G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T303" s="9"/>
      <c r="W303" s="5"/>
      <c r="AB303" s="5"/>
      <c r="AC303" s="5"/>
      <c r="AH303" s="5"/>
      <c r="AI303" s="5"/>
    </row>
    <row r="304">
      <c r="E304" s="5"/>
      <c r="F304" s="5"/>
      <c r="G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T304" s="9"/>
      <c r="W304" s="5"/>
      <c r="AB304" s="5"/>
      <c r="AC304" s="5"/>
      <c r="AH304" s="5"/>
      <c r="AI304" s="5"/>
    </row>
    <row r="305">
      <c r="E305" s="5"/>
      <c r="F305" s="5"/>
      <c r="G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T305" s="9"/>
      <c r="W305" s="5"/>
      <c r="AB305" s="5"/>
      <c r="AC305" s="5"/>
      <c r="AH305" s="5"/>
      <c r="AI305" s="5"/>
    </row>
    <row r="306">
      <c r="E306" s="5"/>
      <c r="F306" s="5"/>
      <c r="G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T306" s="9"/>
      <c r="W306" s="5"/>
      <c r="AB306" s="5"/>
      <c r="AC306" s="5"/>
      <c r="AH306" s="5"/>
      <c r="AI306" s="5"/>
    </row>
    <row r="307">
      <c r="E307" s="5"/>
      <c r="F307" s="5"/>
      <c r="G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T307" s="9"/>
      <c r="W307" s="5"/>
      <c r="AB307" s="5"/>
      <c r="AC307" s="5"/>
      <c r="AH307" s="5"/>
      <c r="AI307" s="5"/>
    </row>
    <row r="308">
      <c r="E308" s="5"/>
      <c r="F308" s="5"/>
      <c r="G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T308" s="9"/>
      <c r="W308" s="5"/>
      <c r="AB308" s="5"/>
      <c r="AC308" s="5"/>
      <c r="AH308" s="5"/>
      <c r="AI308" s="5"/>
    </row>
    <row r="309">
      <c r="E309" s="5"/>
      <c r="F309" s="5"/>
      <c r="G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T309" s="9"/>
      <c r="W309" s="5"/>
      <c r="AB309" s="5"/>
      <c r="AC309" s="5"/>
      <c r="AH309" s="5"/>
      <c r="AI309" s="5"/>
    </row>
    <row r="310">
      <c r="E310" s="5"/>
      <c r="F310" s="5"/>
      <c r="G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T310" s="9"/>
      <c r="W310" s="5"/>
      <c r="AB310" s="5"/>
      <c r="AC310" s="5"/>
      <c r="AH310" s="5"/>
      <c r="AI310" s="5"/>
    </row>
    <row r="311">
      <c r="E311" s="5"/>
      <c r="F311" s="5"/>
      <c r="G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T311" s="9"/>
      <c r="W311" s="5"/>
      <c r="AB311" s="5"/>
      <c r="AC311" s="5"/>
      <c r="AH311" s="5"/>
      <c r="AI311" s="5"/>
    </row>
    <row r="312">
      <c r="E312" s="5"/>
      <c r="F312" s="5"/>
      <c r="G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T312" s="9"/>
      <c r="W312" s="5"/>
      <c r="AB312" s="5"/>
      <c r="AC312" s="5"/>
      <c r="AH312" s="5"/>
      <c r="AI312" s="5"/>
    </row>
    <row r="313">
      <c r="E313" s="5"/>
      <c r="F313" s="5"/>
      <c r="G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T313" s="9"/>
      <c r="W313" s="5"/>
      <c r="AB313" s="5"/>
      <c r="AC313" s="5"/>
      <c r="AH313" s="5"/>
      <c r="AI313" s="5"/>
    </row>
    <row r="314">
      <c r="E314" s="5"/>
      <c r="F314" s="5"/>
      <c r="G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T314" s="9"/>
      <c r="W314" s="5"/>
      <c r="AB314" s="5"/>
      <c r="AC314" s="5"/>
      <c r="AH314" s="5"/>
      <c r="AI314" s="5"/>
    </row>
    <row r="315">
      <c r="E315" s="5"/>
      <c r="F315" s="5"/>
      <c r="G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T315" s="9"/>
      <c r="W315" s="5"/>
      <c r="AB315" s="5"/>
      <c r="AC315" s="5"/>
      <c r="AH315" s="5"/>
      <c r="AI315" s="5"/>
    </row>
    <row r="316">
      <c r="E316" s="5"/>
      <c r="F316" s="5"/>
      <c r="G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T316" s="9"/>
      <c r="W316" s="5"/>
      <c r="AB316" s="5"/>
      <c r="AC316" s="5"/>
      <c r="AH316" s="5"/>
      <c r="AI316" s="5"/>
    </row>
    <row r="317">
      <c r="E317" s="5"/>
      <c r="F317" s="5"/>
      <c r="G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T317" s="9"/>
      <c r="W317" s="5"/>
      <c r="AB317" s="5"/>
      <c r="AC317" s="5"/>
      <c r="AH317" s="5"/>
      <c r="AI317" s="5"/>
    </row>
    <row r="318">
      <c r="E318" s="5"/>
      <c r="F318" s="5"/>
      <c r="G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T318" s="9"/>
      <c r="W318" s="5"/>
      <c r="AB318" s="5"/>
      <c r="AC318" s="5"/>
      <c r="AH318" s="5"/>
      <c r="AI318" s="5"/>
    </row>
    <row r="319">
      <c r="E319" s="5"/>
      <c r="F319" s="5"/>
      <c r="G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T319" s="9"/>
      <c r="W319" s="5"/>
      <c r="AB319" s="5"/>
      <c r="AC319" s="5"/>
      <c r="AH319" s="5"/>
      <c r="AI319" s="5"/>
    </row>
    <row r="320">
      <c r="E320" s="5"/>
      <c r="F320" s="5"/>
      <c r="G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T320" s="9"/>
      <c r="W320" s="5"/>
      <c r="AB320" s="5"/>
      <c r="AC320" s="5"/>
      <c r="AH320" s="5"/>
      <c r="AI320" s="5"/>
    </row>
    <row r="321">
      <c r="E321" s="5"/>
      <c r="F321" s="5"/>
      <c r="G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T321" s="9"/>
      <c r="W321" s="5"/>
      <c r="AB321" s="5"/>
      <c r="AC321" s="5"/>
      <c r="AH321" s="5"/>
      <c r="AI321" s="5"/>
    </row>
    <row r="322">
      <c r="E322" s="5"/>
      <c r="F322" s="5"/>
      <c r="G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T322" s="9"/>
      <c r="W322" s="5"/>
      <c r="AB322" s="5"/>
      <c r="AC322" s="5"/>
      <c r="AH322" s="5"/>
      <c r="AI322" s="5"/>
    </row>
    <row r="323">
      <c r="E323" s="5"/>
      <c r="F323" s="5"/>
      <c r="G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T323" s="9"/>
      <c r="W323" s="5"/>
      <c r="AB323" s="5"/>
      <c r="AC323" s="5"/>
      <c r="AH323" s="5"/>
      <c r="AI323" s="5"/>
    </row>
    <row r="324">
      <c r="E324" s="5"/>
      <c r="F324" s="5"/>
      <c r="G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T324" s="9"/>
      <c r="W324" s="5"/>
      <c r="AB324" s="5"/>
      <c r="AC324" s="5"/>
      <c r="AH324" s="5"/>
      <c r="AI324" s="5"/>
    </row>
    <row r="325">
      <c r="E325" s="5"/>
      <c r="F325" s="5"/>
      <c r="G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T325" s="9"/>
      <c r="W325" s="5"/>
      <c r="AB325" s="5"/>
      <c r="AC325" s="5"/>
      <c r="AH325" s="5"/>
      <c r="AI325" s="5"/>
    </row>
    <row r="326">
      <c r="E326" s="5"/>
      <c r="F326" s="5"/>
      <c r="G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T326" s="9"/>
      <c r="W326" s="5"/>
      <c r="AB326" s="5"/>
      <c r="AC326" s="5"/>
      <c r="AH326" s="5"/>
      <c r="AI326" s="5"/>
    </row>
    <row r="327">
      <c r="E327" s="5"/>
      <c r="F327" s="5"/>
      <c r="G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T327" s="9"/>
      <c r="W327" s="5"/>
      <c r="AB327" s="5"/>
      <c r="AC327" s="5"/>
      <c r="AH327" s="5"/>
      <c r="AI327" s="5"/>
    </row>
    <row r="328">
      <c r="E328" s="5"/>
      <c r="F328" s="5"/>
      <c r="G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T328" s="9"/>
      <c r="W328" s="5"/>
      <c r="AB328" s="5"/>
      <c r="AC328" s="5"/>
      <c r="AH328" s="5"/>
      <c r="AI328" s="5"/>
    </row>
    <row r="329">
      <c r="E329" s="5"/>
      <c r="F329" s="5"/>
      <c r="G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T329" s="9"/>
      <c r="W329" s="5"/>
      <c r="AB329" s="5"/>
      <c r="AC329" s="5"/>
      <c r="AH329" s="5"/>
      <c r="AI329" s="5"/>
    </row>
    <row r="330">
      <c r="E330" s="5"/>
      <c r="F330" s="5"/>
      <c r="G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T330" s="9"/>
      <c r="W330" s="5"/>
      <c r="AB330" s="5"/>
      <c r="AC330" s="5"/>
      <c r="AH330" s="5"/>
      <c r="AI330" s="5"/>
    </row>
    <row r="331">
      <c r="E331" s="5"/>
      <c r="F331" s="5"/>
      <c r="G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T331" s="9"/>
      <c r="W331" s="5"/>
      <c r="AB331" s="5"/>
      <c r="AC331" s="5"/>
      <c r="AH331" s="5"/>
      <c r="AI331" s="5"/>
    </row>
    <row r="332">
      <c r="E332" s="5"/>
      <c r="F332" s="5"/>
      <c r="G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T332" s="9"/>
      <c r="W332" s="5"/>
      <c r="AB332" s="5"/>
      <c r="AC332" s="5"/>
      <c r="AH332" s="5"/>
      <c r="AI332" s="5"/>
    </row>
    <row r="333">
      <c r="E333" s="5"/>
      <c r="F333" s="5"/>
      <c r="G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T333" s="9"/>
      <c r="W333" s="5"/>
      <c r="AB333" s="5"/>
      <c r="AC333" s="5"/>
      <c r="AH333" s="5"/>
      <c r="AI333" s="5"/>
    </row>
    <row r="334">
      <c r="E334" s="5"/>
      <c r="F334" s="5"/>
      <c r="G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T334" s="9"/>
      <c r="W334" s="5"/>
      <c r="AB334" s="5"/>
      <c r="AC334" s="5"/>
      <c r="AH334" s="5"/>
      <c r="AI334" s="5"/>
    </row>
    <row r="335">
      <c r="E335" s="5"/>
      <c r="F335" s="5"/>
      <c r="G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T335" s="9"/>
      <c r="W335" s="5"/>
      <c r="AB335" s="5"/>
      <c r="AC335" s="5"/>
      <c r="AH335" s="5"/>
      <c r="AI335" s="5"/>
    </row>
    <row r="336">
      <c r="E336" s="5"/>
      <c r="F336" s="5"/>
      <c r="G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T336" s="9"/>
      <c r="W336" s="5"/>
      <c r="AB336" s="5"/>
      <c r="AC336" s="5"/>
      <c r="AH336" s="5"/>
      <c r="AI336" s="5"/>
    </row>
    <row r="337">
      <c r="E337" s="5"/>
      <c r="F337" s="5"/>
      <c r="G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T337" s="9"/>
      <c r="W337" s="5"/>
      <c r="AB337" s="5"/>
      <c r="AC337" s="5"/>
      <c r="AH337" s="5"/>
      <c r="AI337" s="5"/>
    </row>
    <row r="338">
      <c r="E338" s="5"/>
      <c r="F338" s="5"/>
      <c r="G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T338" s="9"/>
      <c r="W338" s="5"/>
      <c r="AB338" s="5"/>
      <c r="AC338" s="5"/>
      <c r="AH338" s="5"/>
      <c r="AI338" s="5"/>
    </row>
    <row r="339">
      <c r="E339" s="5"/>
      <c r="F339" s="5"/>
      <c r="G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T339" s="9"/>
      <c r="W339" s="5"/>
      <c r="AB339" s="5"/>
      <c r="AC339" s="5"/>
      <c r="AH339" s="5"/>
      <c r="AI339" s="5"/>
    </row>
    <row r="340">
      <c r="E340" s="5"/>
      <c r="F340" s="5"/>
      <c r="G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T340" s="9"/>
      <c r="W340" s="5"/>
      <c r="AB340" s="5"/>
      <c r="AC340" s="5"/>
      <c r="AH340" s="5"/>
      <c r="AI340" s="5"/>
    </row>
    <row r="341">
      <c r="E341" s="5"/>
      <c r="F341" s="5"/>
      <c r="G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T341" s="9"/>
      <c r="W341" s="5"/>
      <c r="AB341" s="5"/>
      <c r="AC341" s="5"/>
      <c r="AH341" s="5"/>
      <c r="AI341" s="5"/>
    </row>
    <row r="342">
      <c r="E342" s="5"/>
      <c r="F342" s="5"/>
      <c r="G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T342" s="9"/>
      <c r="W342" s="5"/>
      <c r="AB342" s="5"/>
      <c r="AC342" s="5"/>
      <c r="AH342" s="5"/>
      <c r="AI342" s="5"/>
    </row>
    <row r="343">
      <c r="E343" s="5"/>
      <c r="F343" s="5"/>
      <c r="G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T343" s="9"/>
      <c r="W343" s="5"/>
      <c r="AB343" s="5"/>
      <c r="AC343" s="5"/>
      <c r="AH343" s="5"/>
      <c r="AI343" s="5"/>
    </row>
    <row r="344">
      <c r="E344" s="5"/>
      <c r="F344" s="5"/>
      <c r="G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T344" s="9"/>
      <c r="W344" s="5"/>
      <c r="AB344" s="5"/>
      <c r="AC344" s="5"/>
      <c r="AH344" s="5"/>
      <c r="AI344" s="5"/>
    </row>
    <row r="345">
      <c r="E345" s="5"/>
      <c r="F345" s="5"/>
      <c r="G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T345" s="9"/>
      <c r="W345" s="5"/>
      <c r="AB345" s="5"/>
      <c r="AC345" s="5"/>
      <c r="AH345" s="5"/>
      <c r="AI345" s="5"/>
    </row>
    <row r="346">
      <c r="E346" s="5"/>
      <c r="F346" s="5"/>
      <c r="G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T346" s="9"/>
      <c r="W346" s="5"/>
      <c r="AB346" s="5"/>
      <c r="AC346" s="5"/>
      <c r="AH346" s="5"/>
      <c r="AI346" s="5"/>
    </row>
    <row r="347">
      <c r="E347" s="5"/>
      <c r="F347" s="5"/>
      <c r="G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T347" s="9"/>
      <c r="W347" s="5"/>
      <c r="AB347" s="5"/>
      <c r="AC347" s="5"/>
      <c r="AH347" s="5"/>
      <c r="AI347" s="5"/>
    </row>
    <row r="348">
      <c r="E348" s="5"/>
      <c r="F348" s="5"/>
      <c r="G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T348" s="9"/>
      <c r="W348" s="5"/>
      <c r="AB348" s="5"/>
      <c r="AC348" s="5"/>
      <c r="AH348" s="5"/>
      <c r="AI348" s="5"/>
    </row>
    <row r="349">
      <c r="E349" s="5"/>
      <c r="F349" s="5"/>
      <c r="G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T349" s="9"/>
      <c r="W349" s="5"/>
      <c r="AB349" s="5"/>
      <c r="AC349" s="5"/>
      <c r="AH349" s="5"/>
      <c r="AI349" s="5"/>
    </row>
    <row r="350">
      <c r="E350" s="5"/>
      <c r="F350" s="5"/>
      <c r="G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T350" s="9"/>
      <c r="W350" s="5"/>
      <c r="AB350" s="5"/>
      <c r="AC350" s="5"/>
      <c r="AH350" s="5"/>
      <c r="AI350" s="5"/>
    </row>
    <row r="351">
      <c r="E351" s="5"/>
      <c r="F351" s="5"/>
      <c r="G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T351" s="9"/>
      <c r="W351" s="5"/>
      <c r="AB351" s="5"/>
      <c r="AC351" s="5"/>
      <c r="AH351" s="5"/>
      <c r="AI351" s="5"/>
    </row>
    <row r="352">
      <c r="E352" s="5"/>
      <c r="F352" s="5"/>
      <c r="G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T352" s="9"/>
      <c r="W352" s="5"/>
      <c r="AB352" s="5"/>
      <c r="AC352" s="5"/>
      <c r="AH352" s="5"/>
      <c r="AI352" s="5"/>
    </row>
    <row r="353">
      <c r="E353" s="5"/>
      <c r="F353" s="5"/>
      <c r="G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T353" s="9"/>
      <c r="W353" s="5"/>
      <c r="AB353" s="5"/>
      <c r="AC353" s="5"/>
      <c r="AH353" s="5"/>
      <c r="AI353" s="5"/>
    </row>
    <row r="354">
      <c r="E354" s="5"/>
      <c r="F354" s="5"/>
      <c r="G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T354" s="9"/>
      <c r="W354" s="5"/>
      <c r="AB354" s="5"/>
      <c r="AC354" s="5"/>
      <c r="AH354" s="5"/>
      <c r="AI354" s="5"/>
    </row>
    <row r="355">
      <c r="E355" s="5"/>
      <c r="F355" s="5"/>
      <c r="G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T355" s="9"/>
      <c r="W355" s="5"/>
      <c r="AB355" s="5"/>
      <c r="AC355" s="5"/>
      <c r="AH355" s="5"/>
      <c r="AI355" s="5"/>
    </row>
    <row r="356">
      <c r="E356" s="5"/>
      <c r="F356" s="5"/>
      <c r="G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T356" s="9"/>
      <c r="W356" s="5"/>
      <c r="AB356" s="5"/>
      <c r="AC356" s="5"/>
      <c r="AH356" s="5"/>
      <c r="AI356" s="5"/>
    </row>
    <row r="357">
      <c r="E357" s="5"/>
      <c r="F357" s="5"/>
      <c r="G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T357" s="9"/>
      <c r="W357" s="5"/>
      <c r="AB357" s="5"/>
      <c r="AC357" s="5"/>
      <c r="AH357" s="5"/>
      <c r="AI357" s="5"/>
    </row>
    <row r="358">
      <c r="E358" s="5"/>
      <c r="F358" s="5"/>
      <c r="G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T358" s="9"/>
      <c r="W358" s="5"/>
      <c r="AB358" s="5"/>
      <c r="AC358" s="5"/>
      <c r="AH358" s="5"/>
      <c r="AI358" s="5"/>
    </row>
    <row r="359">
      <c r="E359" s="5"/>
      <c r="F359" s="5"/>
      <c r="G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T359" s="9"/>
      <c r="W359" s="5"/>
      <c r="AB359" s="5"/>
      <c r="AC359" s="5"/>
      <c r="AH359" s="5"/>
      <c r="AI359" s="5"/>
    </row>
    <row r="360">
      <c r="E360" s="5"/>
      <c r="F360" s="5"/>
      <c r="G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T360" s="9"/>
      <c r="W360" s="5"/>
      <c r="AB360" s="5"/>
      <c r="AC360" s="5"/>
      <c r="AH360" s="5"/>
      <c r="AI360" s="5"/>
    </row>
    <row r="361">
      <c r="E361" s="5"/>
      <c r="F361" s="5"/>
      <c r="G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T361" s="9"/>
      <c r="W361" s="5"/>
      <c r="AB361" s="5"/>
      <c r="AC361" s="5"/>
      <c r="AH361" s="5"/>
      <c r="AI361" s="5"/>
    </row>
    <row r="362">
      <c r="E362" s="5"/>
      <c r="F362" s="5"/>
      <c r="G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T362" s="9"/>
      <c r="W362" s="5"/>
      <c r="AB362" s="5"/>
      <c r="AC362" s="5"/>
      <c r="AH362" s="5"/>
      <c r="AI362" s="5"/>
    </row>
    <row r="363">
      <c r="E363" s="5"/>
      <c r="F363" s="5"/>
      <c r="G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T363" s="9"/>
      <c r="W363" s="5"/>
      <c r="AB363" s="5"/>
      <c r="AC363" s="5"/>
      <c r="AH363" s="5"/>
      <c r="AI363" s="5"/>
    </row>
    <row r="364">
      <c r="E364" s="5"/>
      <c r="F364" s="5"/>
      <c r="G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T364" s="9"/>
      <c r="W364" s="5"/>
      <c r="AB364" s="5"/>
      <c r="AC364" s="5"/>
      <c r="AH364" s="5"/>
      <c r="AI364" s="5"/>
    </row>
    <row r="365">
      <c r="E365" s="5"/>
      <c r="F365" s="5"/>
      <c r="G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T365" s="9"/>
      <c r="W365" s="5"/>
      <c r="AB365" s="5"/>
      <c r="AC365" s="5"/>
      <c r="AH365" s="5"/>
      <c r="AI365" s="5"/>
    </row>
    <row r="366">
      <c r="E366" s="5"/>
      <c r="F366" s="5"/>
      <c r="G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T366" s="9"/>
      <c r="W366" s="5"/>
      <c r="AB366" s="5"/>
      <c r="AC366" s="5"/>
      <c r="AH366" s="5"/>
      <c r="AI366" s="5"/>
    </row>
    <row r="367">
      <c r="E367" s="5"/>
      <c r="F367" s="5"/>
      <c r="G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T367" s="9"/>
      <c r="W367" s="5"/>
      <c r="AB367" s="5"/>
      <c r="AC367" s="5"/>
      <c r="AH367" s="5"/>
      <c r="AI367" s="5"/>
    </row>
    <row r="368">
      <c r="E368" s="5"/>
      <c r="F368" s="5"/>
      <c r="G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T368" s="9"/>
      <c r="W368" s="5"/>
      <c r="AB368" s="5"/>
      <c r="AC368" s="5"/>
      <c r="AH368" s="5"/>
      <c r="AI368" s="5"/>
    </row>
    <row r="369">
      <c r="E369" s="5"/>
      <c r="F369" s="5"/>
      <c r="G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T369" s="9"/>
      <c r="W369" s="5"/>
      <c r="AB369" s="5"/>
      <c r="AC369" s="5"/>
      <c r="AH369" s="5"/>
      <c r="AI369" s="5"/>
    </row>
    <row r="370">
      <c r="E370" s="5"/>
      <c r="F370" s="5"/>
      <c r="G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T370" s="9"/>
      <c r="W370" s="5"/>
      <c r="AB370" s="5"/>
      <c r="AC370" s="5"/>
      <c r="AH370" s="5"/>
      <c r="AI370" s="5"/>
    </row>
    <row r="371">
      <c r="E371" s="5"/>
      <c r="F371" s="5"/>
      <c r="G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T371" s="9"/>
      <c r="W371" s="5"/>
      <c r="AB371" s="5"/>
      <c r="AC371" s="5"/>
      <c r="AH371" s="5"/>
      <c r="AI371" s="5"/>
    </row>
    <row r="372">
      <c r="E372" s="5"/>
      <c r="F372" s="5"/>
      <c r="G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T372" s="9"/>
      <c r="W372" s="5"/>
      <c r="AB372" s="5"/>
      <c r="AC372" s="5"/>
      <c r="AH372" s="5"/>
      <c r="AI372" s="5"/>
    </row>
    <row r="373">
      <c r="E373" s="5"/>
      <c r="F373" s="5"/>
      <c r="G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T373" s="9"/>
      <c r="W373" s="5"/>
      <c r="AB373" s="5"/>
      <c r="AC373" s="5"/>
      <c r="AH373" s="5"/>
      <c r="AI373" s="5"/>
    </row>
    <row r="374">
      <c r="E374" s="5"/>
      <c r="F374" s="5"/>
      <c r="G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T374" s="9"/>
      <c r="W374" s="5"/>
      <c r="AB374" s="5"/>
      <c r="AC374" s="5"/>
      <c r="AH374" s="5"/>
      <c r="AI374" s="5"/>
    </row>
    <row r="375">
      <c r="E375" s="5"/>
      <c r="F375" s="5"/>
      <c r="G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T375" s="9"/>
      <c r="W375" s="5"/>
      <c r="AB375" s="5"/>
      <c r="AC375" s="5"/>
      <c r="AH375" s="5"/>
      <c r="AI375" s="5"/>
    </row>
    <row r="376">
      <c r="E376" s="5"/>
      <c r="F376" s="5"/>
      <c r="G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T376" s="9"/>
      <c r="W376" s="5"/>
      <c r="AB376" s="5"/>
      <c r="AC376" s="5"/>
      <c r="AH376" s="5"/>
      <c r="AI376" s="5"/>
    </row>
    <row r="377">
      <c r="E377" s="5"/>
      <c r="F377" s="5"/>
      <c r="G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T377" s="9"/>
      <c r="W377" s="5"/>
      <c r="AB377" s="5"/>
      <c r="AC377" s="5"/>
      <c r="AH377" s="5"/>
      <c r="AI377" s="5"/>
    </row>
    <row r="378">
      <c r="E378" s="5"/>
      <c r="F378" s="5"/>
      <c r="G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T378" s="9"/>
      <c r="W378" s="5"/>
      <c r="AB378" s="5"/>
      <c r="AC378" s="5"/>
      <c r="AH378" s="5"/>
      <c r="AI378" s="5"/>
    </row>
    <row r="379">
      <c r="E379" s="5"/>
      <c r="F379" s="5"/>
      <c r="G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T379" s="9"/>
      <c r="W379" s="5"/>
      <c r="AB379" s="5"/>
      <c r="AC379" s="5"/>
      <c r="AH379" s="5"/>
      <c r="AI379" s="5"/>
    </row>
    <row r="380">
      <c r="E380" s="5"/>
      <c r="F380" s="5"/>
      <c r="G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T380" s="9"/>
      <c r="W380" s="5"/>
      <c r="AB380" s="5"/>
      <c r="AC380" s="5"/>
      <c r="AH380" s="5"/>
      <c r="AI380" s="5"/>
    </row>
    <row r="381">
      <c r="E381" s="5"/>
      <c r="F381" s="5"/>
      <c r="G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T381" s="9"/>
      <c r="W381" s="5"/>
      <c r="AB381" s="5"/>
      <c r="AC381" s="5"/>
      <c r="AH381" s="5"/>
      <c r="AI381" s="5"/>
    </row>
    <row r="382">
      <c r="E382" s="5"/>
      <c r="F382" s="5"/>
      <c r="G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T382" s="9"/>
      <c r="W382" s="5"/>
      <c r="AB382" s="5"/>
      <c r="AC382" s="5"/>
      <c r="AH382" s="5"/>
      <c r="AI382" s="5"/>
    </row>
    <row r="383">
      <c r="E383" s="5"/>
      <c r="F383" s="5"/>
      <c r="G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T383" s="9"/>
      <c r="W383" s="5"/>
      <c r="AB383" s="5"/>
      <c r="AC383" s="5"/>
      <c r="AH383" s="5"/>
      <c r="AI383" s="5"/>
    </row>
    <row r="384">
      <c r="E384" s="5"/>
      <c r="F384" s="5"/>
      <c r="G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T384" s="9"/>
      <c r="W384" s="5"/>
      <c r="AB384" s="5"/>
      <c r="AC384" s="5"/>
      <c r="AH384" s="5"/>
      <c r="AI384" s="5"/>
    </row>
    <row r="385">
      <c r="E385" s="5"/>
      <c r="F385" s="5"/>
      <c r="G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T385" s="9"/>
      <c r="W385" s="5"/>
      <c r="AB385" s="5"/>
      <c r="AC385" s="5"/>
      <c r="AH385" s="5"/>
      <c r="AI385" s="5"/>
    </row>
    <row r="386">
      <c r="E386" s="5"/>
      <c r="F386" s="5"/>
      <c r="G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T386" s="9"/>
      <c r="W386" s="5"/>
      <c r="AB386" s="5"/>
      <c r="AC386" s="5"/>
      <c r="AH386" s="5"/>
      <c r="AI386" s="5"/>
    </row>
    <row r="387">
      <c r="E387" s="5"/>
      <c r="F387" s="5"/>
      <c r="G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T387" s="9"/>
      <c r="W387" s="5"/>
      <c r="AB387" s="5"/>
      <c r="AC387" s="5"/>
      <c r="AH387" s="5"/>
      <c r="AI387" s="5"/>
    </row>
    <row r="388">
      <c r="E388" s="5"/>
      <c r="F388" s="5"/>
      <c r="G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T388" s="9"/>
      <c r="W388" s="5"/>
      <c r="AB388" s="5"/>
      <c r="AC388" s="5"/>
      <c r="AH388" s="5"/>
      <c r="AI388" s="5"/>
    </row>
    <row r="389">
      <c r="E389" s="5"/>
      <c r="F389" s="5"/>
      <c r="G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T389" s="9"/>
      <c r="W389" s="5"/>
      <c r="AB389" s="5"/>
      <c r="AC389" s="5"/>
      <c r="AH389" s="5"/>
      <c r="AI389" s="5"/>
    </row>
    <row r="390">
      <c r="E390" s="5"/>
      <c r="F390" s="5"/>
      <c r="G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T390" s="9"/>
      <c r="W390" s="5"/>
      <c r="AB390" s="5"/>
      <c r="AC390" s="5"/>
      <c r="AH390" s="5"/>
      <c r="AI390" s="5"/>
    </row>
    <row r="391">
      <c r="E391" s="5"/>
      <c r="F391" s="5"/>
      <c r="G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T391" s="9"/>
      <c r="W391" s="5"/>
      <c r="AB391" s="5"/>
      <c r="AC391" s="5"/>
      <c r="AH391" s="5"/>
      <c r="AI391" s="5"/>
    </row>
    <row r="392">
      <c r="E392" s="5"/>
      <c r="F392" s="5"/>
      <c r="G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T392" s="9"/>
      <c r="W392" s="5"/>
      <c r="AB392" s="5"/>
      <c r="AC392" s="5"/>
      <c r="AH392" s="5"/>
      <c r="AI392" s="5"/>
    </row>
    <row r="393">
      <c r="E393" s="5"/>
      <c r="F393" s="5"/>
      <c r="G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T393" s="9"/>
      <c r="W393" s="5"/>
      <c r="AB393" s="5"/>
      <c r="AC393" s="5"/>
      <c r="AH393" s="5"/>
      <c r="AI393" s="5"/>
    </row>
    <row r="394">
      <c r="E394" s="5"/>
      <c r="F394" s="5"/>
      <c r="G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T394" s="9"/>
      <c r="W394" s="5"/>
      <c r="AB394" s="5"/>
      <c r="AC394" s="5"/>
      <c r="AH394" s="5"/>
      <c r="AI394" s="5"/>
    </row>
    <row r="395">
      <c r="E395" s="5"/>
      <c r="F395" s="5"/>
      <c r="G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T395" s="9"/>
      <c r="W395" s="5"/>
      <c r="AB395" s="5"/>
      <c r="AC395" s="5"/>
      <c r="AH395" s="5"/>
      <c r="AI395" s="5"/>
    </row>
    <row r="396">
      <c r="E396" s="5"/>
      <c r="F396" s="5"/>
      <c r="G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T396" s="9"/>
      <c r="W396" s="5"/>
      <c r="AB396" s="5"/>
      <c r="AC396" s="5"/>
      <c r="AH396" s="5"/>
      <c r="AI396" s="5"/>
    </row>
    <row r="397">
      <c r="E397" s="5"/>
      <c r="F397" s="5"/>
      <c r="G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T397" s="9"/>
      <c r="W397" s="5"/>
      <c r="AB397" s="5"/>
      <c r="AC397" s="5"/>
      <c r="AH397" s="5"/>
      <c r="AI397" s="5"/>
    </row>
    <row r="398">
      <c r="E398" s="5"/>
      <c r="F398" s="5"/>
      <c r="G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T398" s="9"/>
      <c r="W398" s="5"/>
      <c r="AB398" s="5"/>
      <c r="AC398" s="5"/>
      <c r="AH398" s="5"/>
      <c r="AI398" s="5"/>
    </row>
    <row r="399">
      <c r="E399" s="5"/>
      <c r="F399" s="5"/>
      <c r="G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T399" s="9"/>
      <c r="W399" s="5"/>
      <c r="AB399" s="5"/>
      <c r="AC399" s="5"/>
      <c r="AH399" s="5"/>
      <c r="AI399" s="5"/>
    </row>
    <row r="400">
      <c r="E400" s="5"/>
      <c r="F400" s="5"/>
      <c r="G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T400" s="9"/>
      <c r="W400" s="5"/>
      <c r="AB400" s="5"/>
      <c r="AC400" s="5"/>
      <c r="AH400" s="5"/>
      <c r="AI400" s="5"/>
    </row>
    <row r="401">
      <c r="E401" s="5"/>
      <c r="F401" s="5"/>
      <c r="G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T401" s="9"/>
      <c r="W401" s="5"/>
      <c r="AB401" s="5"/>
      <c r="AC401" s="5"/>
      <c r="AH401" s="5"/>
      <c r="AI401" s="5"/>
    </row>
    <row r="402">
      <c r="E402" s="5"/>
      <c r="F402" s="5"/>
      <c r="G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T402" s="9"/>
      <c r="W402" s="5"/>
      <c r="AB402" s="5"/>
      <c r="AC402" s="5"/>
      <c r="AH402" s="5"/>
      <c r="AI402" s="5"/>
    </row>
    <row r="403">
      <c r="E403" s="5"/>
      <c r="F403" s="5"/>
      <c r="G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T403" s="9"/>
      <c r="W403" s="5"/>
      <c r="AB403" s="5"/>
      <c r="AC403" s="5"/>
      <c r="AH403" s="5"/>
      <c r="AI403" s="5"/>
    </row>
    <row r="404">
      <c r="E404" s="5"/>
      <c r="F404" s="5"/>
      <c r="G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T404" s="9"/>
      <c r="W404" s="5"/>
      <c r="AB404" s="5"/>
      <c r="AC404" s="5"/>
      <c r="AH404" s="5"/>
      <c r="AI404" s="5"/>
    </row>
    <row r="405">
      <c r="E405" s="5"/>
      <c r="F405" s="5"/>
      <c r="G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T405" s="9"/>
      <c r="W405" s="5"/>
      <c r="AB405" s="5"/>
      <c r="AC405" s="5"/>
      <c r="AH405" s="5"/>
      <c r="AI405" s="5"/>
    </row>
    <row r="406">
      <c r="E406" s="5"/>
      <c r="F406" s="5"/>
      <c r="G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T406" s="9"/>
      <c r="W406" s="5"/>
      <c r="AB406" s="5"/>
      <c r="AC406" s="5"/>
      <c r="AH406" s="5"/>
      <c r="AI406" s="5"/>
    </row>
    <row r="407">
      <c r="E407" s="5"/>
      <c r="F407" s="5"/>
      <c r="G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T407" s="9"/>
      <c r="W407" s="5"/>
      <c r="AB407" s="5"/>
      <c r="AC407" s="5"/>
      <c r="AH407" s="5"/>
      <c r="AI407" s="5"/>
    </row>
    <row r="408">
      <c r="E408" s="5"/>
      <c r="F408" s="5"/>
      <c r="G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T408" s="9"/>
      <c r="W408" s="5"/>
      <c r="AB408" s="5"/>
      <c r="AC408" s="5"/>
      <c r="AH408" s="5"/>
      <c r="AI408" s="5"/>
    </row>
    <row r="409">
      <c r="E409" s="5"/>
      <c r="F409" s="5"/>
      <c r="G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T409" s="9"/>
      <c r="W409" s="5"/>
      <c r="AB409" s="5"/>
      <c r="AC409" s="5"/>
      <c r="AH409" s="5"/>
      <c r="AI409" s="5"/>
    </row>
    <row r="410">
      <c r="E410" s="5"/>
      <c r="F410" s="5"/>
      <c r="G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T410" s="9"/>
      <c r="W410" s="5"/>
      <c r="AB410" s="5"/>
      <c r="AC410" s="5"/>
      <c r="AH410" s="5"/>
      <c r="AI410" s="5"/>
    </row>
    <row r="411">
      <c r="E411" s="5"/>
      <c r="F411" s="5"/>
      <c r="G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T411" s="9"/>
      <c r="W411" s="5"/>
      <c r="AB411" s="5"/>
      <c r="AC411" s="5"/>
      <c r="AH411" s="5"/>
      <c r="AI411" s="5"/>
    </row>
    <row r="412">
      <c r="E412" s="5"/>
      <c r="F412" s="5"/>
      <c r="G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T412" s="9"/>
      <c r="W412" s="5"/>
      <c r="AB412" s="5"/>
      <c r="AC412" s="5"/>
      <c r="AH412" s="5"/>
      <c r="AI412" s="5"/>
    </row>
    <row r="413">
      <c r="E413" s="5"/>
      <c r="F413" s="5"/>
      <c r="G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T413" s="9"/>
      <c r="W413" s="5"/>
      <c r="AB413" s="5"/>
      <c r="AC413" s="5"/>
      <c r="AH413" s="5"/>
      <c r="AI413" s="5"/>
    </row>
    <row r="414">
      <c r="E414" s="5"/>
      <c r="F414" s="5"/>
      <c r="G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T414" s="9"/>
      <c r="W414" s="5"/>
      <c r="AB414" s="5"/>
      <c r="AC414" s="5"/>
      <c r="AH414" s="5"/>
      <c r="AI414" s="5"/>
    </row>
    <row r="415">
      <c r="E415" s="5"/>
      <c r="F415" s="5"/>
      <c r="G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T415" s="9"/>
      <c r="W415" s="5"/>
      <c r="AB415" s="5"/>
      <c r="AC415" s="5"/>
      <c r="AH415" s="5"/>
      <c r="AI415" s="5"/>
    </row>
    <row r="416">
      <c r="E416" s="5"/>
      <c r="F416" s="5"/>
      <c r="G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T416" s="9"/>
      <c r="W416" s="5"/>
      <c r="AB416" s="5"/>
      <c r="AC416" s="5"/>
      <c r="AH416" s="5"/>
      <c r="AI416" s="5"/>
    </row>
    <row r="417">
      <c r="E417" s="5"/>
      <c r="F417" s="5"/>
      <c r="G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T417" s="9"/>
      <c r="W417" s="5"/>
      <c r="AB417" s="5"/>
      <c r="AC417" s="5"/>
      <c r="AH417" s="5"/>
      <c r="AI417" s="5"/>
    </row>
    <row r="418">
      <c r="E418" s="5"/>
      <c r="F418" s="5"/>
      <c r="G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T418" s="9"/>
      <c r="W418" s="5"/>
      <c r="AB418" s="5"/>
      <c r="AC418" s="5"/>
      <c r="AH418" s="5"/>
      <c r="AI418" s="5"/>
    </row>
    <row r="419">
      <c r="E419" s="5"/>
      <c r="F419" s="5"/>
      <c r="G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T419" s="9"/>
      <c r="W419" s="5"/>
      <c r="AB419" s="5"/>
      <c r="AC419" s="5"/>
      <c r="AH419" s="5"/>
      <c r="AI419" s="5"/>
    </row>
    <row r="420">
      <c r="E420" s="5"/>
      <c r="F420" s="5"/>
      <c r="G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T420" s="9"/>
      <c r="W420" s="5"/>
      <c r="AB420" s="5"/>
      <c r="AC420" s="5"/>
      <c r="AH420" s="5"/>
      <c r="AI420" s="5"/>
    </row>
    <row r="421">
      <c r="E421" s="5"/>
      <c r="F421" s="5"/>
      <c r="G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T421" s="9"/>
      <c r="W421" s="5"/>
      <c r="AB421" s="5"/>
      <c r="AC421" s="5"/>
      <c r="AH421" s="5"/>
      <c r="AI421" s="5"/>
    </row>
    <row r="422">
      <c r="E422" s="5"/>
      <c r="F422" s="5"/>
      <c r="G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T422" s="9"/>
      <c r="W422" s="5"/>
      <c r="AB422" s="5"/>
      <c r="AC422" s="5"/>
      <c r="AH422" s="5"/>
      <c r="AI422" s="5"/>
    </row>
    <row r="423">
      <c r="E423" s="5"/>
      <c r="F423" s="5"/>
      <c r="G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T423" s="9"/>
      <c r="W423" s="5"/>
      <c r="AB423" s="5"/>
      <c r="AC423" s="5"/>
      <c r="AH423" s="5"/>
      <c r="AI423" s="5"/>
    </row>
    <row r="424">
      <c r="E424" s="5"/>
      <c r="F424" s="5"/>
      <c r="G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T424" s="9"/>
      <c r="W424" s="5"/>
      <c r="AB424" s="5"/>
      <c r="AC424" s="5"/>
      <c r="AH424" s="5"/>
      <c r="AI424" s="5"/>
    </row>
    <row r="425">
      <c r="E425" s="5"/>
      <c r="F425" s="5"/>
      <c r="G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T425" s="9"/>
      <c r="W425" s="5"/>
      <c r="AB425" s="5"/>
      <c r="AC425" s="5"/>
      <c r="AH425" s="5"/>
      <c r="AI425" s="5"/>
    </row>
    <row r="426">
      <c r="E426" s="5"/>
      <c r="F426" s="5"/>
      <c r="G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T426" s="9"/>
      <c r="W426" s="5"/>
      <c r="AB426" s="5"/>
      <c r="AC426" s="5"/>
      <c r="AH426" s="5"/>
      <c r="AI426" s="5"/>
    </row>
    <row r="427">
      <c r="E427" s="5"/>
      <c r="F427" s="5"/>
      <c r="G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T427" s="9"/>
      <c r="W427" s="5"/>
      <c r="AB427" s="5"/>
      <c r="AC427" s="5"/>
      <c r="AH427" s="5"/>
      <c r="AI427" s="5"/>
    </row>
    <row r="428">
      <c r="E428" s="5"/>
      <c r="F428" s="5"/>
      <c r="G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T428" s="9"/>
      <c r="W428" s="5"/>
      <c r="AB428" s="5"/>
      <c r="AC428" s="5"/>
      <c r="AH428" s="5"/>
      <c r="AI428" s="5"/>
    </row>
    <row r="429">
      <c r="E429" s="5"/>
      <c r="F429" s="5"/>
      <c r="G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T429" s="9"/>
      <c r="W429" s="5"/>
      <c r="AB429" s="5"/>
      <c r="AC429" s="5"/>
      <c r="AH429" s="5"/>
      <c r="AI429" s="5"/>
    </row>
    <row r="430">
      <c r="E430" s="5"/>
      <c r="F430" s="5"/>
      <c r="G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T430" s="9"/>
      <c r="W430" s="5"/>
      <c r="AB430" s="5"/>
      <c r="AC430" s="5"/>
      <c r="AH430" s="5"/>
      <c r="AI430" s="5"/>
    </row>
    <row r="431">
      <c r="E431" s="5"/>
      <c r="F431" s="5"/>
      <c r="G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T431" s="9"/>
      <c r="W431" s="5"/>
      <c r="AB431" s="5"/>
      <c r="AC431" s="5"/>
      <c r="AH431" s="5"/>
      <c r="AI431" s="5"/>
    </row>
    <row r="432">
      <c r="E432" s="5"/>
      <c r="F432" s="5"/>
      <c r="G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T432" s="9"/>
      <c r="W432" s="5"/>
      <c r="AB432" s="5"/>
      <c r="AC432" s="5"/>
      <c r="AH432" s="5"/>
      <c r="AI432" s="5"/>
    </row>
    <row r="433">
      <c r="E433" s="5"/>
      <c r="F433" s="5"/>
      <c r="G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T433" s="9"/>
      <c r="W433" s="5"/>
      <c r="AB433" s="5"/>
      <c r="AC433" s="5"/>
      <c r="AH433" s="5"/>
      <c r="AI433" s="5"/>
    </row>
    <row r="434">
      <c r="E434" s="5"/>
      <c r="F434" s="5"/>
      <c r="G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T434" s="9"/>
      <c r="W434" s="5"/>
      <c r="AB434" s="5"/>
      <c r="AC434" s="5"/>
      <c r="AH434" s="5"/>
      <c r="AI434" s="5"/>
    </row>
    <row r="435">
      <c r="E435" s="5"/>
      <c r="F435" s="5"/>
      <c r="G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T435" s="9"/>
      <c r="W435" s="5"/>
      <c r="AB435" s="5"/>
      <c r="AC435" s="5"/>
      <c r="AH435" s="5"/>
      <c r="AI435" s="5"/>
    </row>
    <row r="436">
      <c r="E436" s="5"/>
      <c r="F436" s="5"/>
      <c r="G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T436" s="9"/>
      <c r="W436" s="5"/>
      <c r="AB436" s="5"/>
      <c r="AC436" s="5"/>
      <c r="AH436" s="5"/>
      <c r="AI436" s="5"/>
    </row>
    <row r="437">
      <c r="E437" s="5"/>
      <c r="F437" s="5"/>
      <c r="G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T437" s="9"/>
      <c r="W437" s="5"/>
      <c r="AB437" s="5"/>
      <c r="AC437" s="5"/>
      <c r="AH437" s="5"/>
      <c r="AI437" s="5"/>
    </row>
    <row r="438">
      <c r="E438" s="5"/>
      <c r="F438" s="5"/>
      <c r="G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T438" s="9"/>
      <c r="W438" s="5"/>
      <c r="AB438" s="5"/>
      <c r="AC438" s="5"/>
      <c r="AH438" s="5"/>
      <c r="AI438" s="5"/>
    </row>
    <row r="439">
      <c r="E439" s="5"/>
      <c r="F439" s="5"/>
      <c r="G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T439" s="9"/>
      <c r="W439" s="5"/>
      <c r="AB439" s="5"/>
      <c r="AC439" s="5"/>
      <c r="AH439" s="5"/>
      <c r="AI439" s="5"/>
    </row>
    <row r="440">
      <c r="E440" s="5"/>
      <c r="F440" s="5"/>
      <c r="G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T440" s="9"/>
      <c r="W440" s="5"/>
      <c r="AB440" s="5"/>
      <c r="AC440" s="5"/>
      <c r="AH440" s="5"/>
      <c r="AI440" s="5"/>
    </row>
    <row r="441">
      <c r="E441" s="5"/>
      <c r="F441" s="5"/>
      <c r="G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T441" s="9"/>
      <c r="W441" s="5"/>
      <c r="AB441" s="5"/>
      <c r="AC441" s="5"/>
      <c r="AH441" s="5"/>
      <c r="AI441" s="5"/>
    </row>
    <row r="442">
      <c r="E442" s="5"/>
      <c r="F442" s="5"/>
      <c r="G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T442" s="9"/>
      <c r="W442" s="5"/>
      <c r="AB442" s="5"/>
      <c r="AC442" s="5"/>
      <c r="AH442" s="5"/>
      <c r="AI442" s="5"/>
    </row>
    <row r="443">
      <c r="E443" s="5"/>
      <c r="F443" s="5"/>
      <c r="G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T443" s="9"/>
      <c r="W443" s="5"/>
      <c r="AB443" s="5"/>
      <c r="AC443" s="5"/>
      <c r="AH443" s="5"/>
      <c r="AI443" s="5"/>
    </row>
    <row r="444">
      <c r="E444" s="5"/>
      <c r="F444" s="5"/>
      <c r="G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T444" s="9"/>
      <c r="W444" s="5"/>
      <c r="AB444" s="5"/>
      <c r="AC444" s="5"/>
      <c r="AH444" s="5"/>
      <c r="AI444" s="5"/>
    </row>
    <row r="445">
      <c r="E445" s="5"/>
      <c r="F445" s="5"/>
      <c r="G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T445" s="9"/>
      <c r="W445" s="5"/>
      <c r="AB445" s="5"/>
      <c r="AC445" s="5"/>
      <c r="AH445" s="5"/>
      <c r="AI445" s="5"/>
    </row>
    <row r="446">
      <c r="E446" s="5"/>
      <c r="F446" s="5"/>
      <c r="G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T446" s="9"/>
      <c r="W446" s="5"/>
      <c r="AB446" s="5"/>
      <c r="AC446" s="5"/>
      <c r="AH446" s="5"/>
      <c r="AI446" s="5"/>
    </row>
    <row r="447">
      <c r="E447" s="5"/>
      <c r="F447" s="5"/>
      <c r="G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T447" s="9"/>
      <c r="W447" s="5"/>
      <c r="AB447" s="5"/>
      <c r="AC447" s="5"/>
      <c r="AH447" s="5"/>
      <c r="AI447" s="5"/>
    </row>
    <row r="448">
      <c r="E448" s="5"/>
      <c r="F448" s="5"/>
      <c r="G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T448" s="9"/>
      <c r="W448" s="5"/>
      <c r="AB448" s="5"/>
      <c r="AC448" s="5"/>
      <c r="AH448" s="5"/>
      <c r="AI448" s="5"/>
    </row>
    <row r="449">
      <c r="E449" s="5"/>
      <c r="F449" s="5"/>
      <c r="G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T449" s="9"/>
      <c r="W449" s="5"/>
      <c r="AB449" s="5"/>
      <c r="AC449" s="5"/>
      <c r="AH449" s="5"/>
      <c r="AI449" s="5"/>
    </row>
    <row r="450">
      <c r="E450" s="5"/>
      <c r="F450" s="5"/>
      <c r="G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T450" s="9"/>
      <c r="W450" s="5"/>
      <c r="AB450" s="5"/>
      <c r="AC450" s="5"/>
      <c r="AH450" s="5"/>
      <c r="AI450" s="5"/>
    </row>
    <row r="451">
      <c r="E451" s="5"/>
      <c r="F451" s="5"/>
      <c r="G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T451" s="9"/>
      <c r="W451" s="5"/>
      <c r="AB451" s="5"/>
      <c r="AC451" s="5"/>
      <c r="AH451" s="5"/>
      <c r="AI451" s="5"/>
    </row>
    <row r="452">
      <c r="E452" s="5"/>
      <c r="F452" s="5"/>
      <c r="G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T452" s="9"/>
      <c r="W452" s="5"/>
      <c r="AB452" s="5"/>
      <c r="AC452" s="5"/>
      <c r="AH452" s="5"/>
      <c r="AI452" s="5"/>
    </row>
    <row r="453">
      <c r="E453" s="5"/>
      <c r="F453" s="5"/>
      <c r="G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T453" s="9"/>
      <c r="W453" s="5"/>
      <c r="AB453" s="5"/>
      <c r="AC453" s="5"/>
      <c r="AH453" s="5"/>
      <c r="AI453" s="5"/>
    </row>
    <row r="454">
      <c r="E454" s="5"/>
      <c r="F454" s="5"/>
      <c r="G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T454" s="9"/>
      <c r="W454" s="5"/>
      <c r="AB454" s="5"/>
      <c r="AC454" s="5"/>
      <c r="AH454" s="5"/>
      <c r="AI454" s="5"/>
    </row>
    <row r="455">
      <c r="E455" s="5"/>
      <c r="F455" s="5"/>
      <c r="G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T455" s="9"/>
      <c r="W455" s="5"/>
      <c r="AB455" s="5"/>
      <c r="AC455" s="5"/>
      <c r="AH455" s="5"/>
      <c r="AI455" s="5"/>
    </row>
    <row r="456">
      <c r="E456" s="5"/>
      <c r="F456" s="5"/>
      <c r="G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T456" s="9"/>
      <c r="W456" s="5"/>
      <c r="AB456" s="5"/>
      <c r="AC456" s="5"/>
      <c r="AH456" s="5"/>
      <c r="AI456" s="5"/>
    </row>
    <row r="457">
      <c r="E457" s="5"/>
      <c r="F457" s="5"/>
      <c r="G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T457" s="9"/>
      <c r="W457" s="5"/>
      <c r="AB457" s="5"/>
      <c r="AC457" s="5"/>
      <c r="AH457" s="5"/>
      <c r="AI457" s="5"/>
    </row>
    <row r="458">
      <c r="E458" s="5"/>
      <c r="F458" s="5"/>
      <c r="G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T458" s="9"/>
      <c r="W458" s="5"/>
      <c r="AB458" s="5"/>
      <c r="AC458" s="5"/>
      <c r="AH458" s="5"/>
      <c r="AI458" s="5"/>
    </row>
    <row r="459">
      <c r="E459" s="5"/>
      <c r="F459" s="5"/>
      <c r="G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T459" s="9"/>
      <c r="W459" s="5"/>
      <c r="AB459" s="5"/>
      <c r="AC459" s="5"/>
      <c r="AH459" s="5"/>
      <c r="AI459" s="5"/>
    </row>
    <row r="460">
      <c r="E460" s="5"/>
      <c r="F460" s="5"/>
      <c r="G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T460" s="9"/>
      <c r="W460" s="5"/>
      <c r="AB460" s="5"/>
      <c r="AC460" s="5"/>
      <c r="AH460" s="5"/>
      <c r="AI460" s="5"/>
    </row>
    <row r="461">
      <c r="E461" s="5"/>
      <c r="F461" s="5"/>
      <c r="G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T461" s="9"/>
      <c r="W461" s="5"/>
      <c r="AB461" s="5"/>
      <c r="AC461" s="5"/>
      <c r="AH461" s="5"/>
      <c r="AI461" s="5"/>
    </row>
    <row r="462">
      <c r="E462" s="5"/>
      <c r="F462" s="5"/>
      <c r="G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T462" s="9"/>
      <c r="W462" s="5"/>
      <c r="AB462" s="5"/>
      <c r="AC462" s="5"/>
      <c r="AH462" s="5"/>
      <c r="AI462" s="5"/>
    </row>
    <row r="463">
      <c r="E463" s="5"/>
      <c r="F463" s="5"/>
      <c r="G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T463" s="9"/>
      <c r="W463" s="5"/>
      <c r="AB463" s="5"/>
      <c r="AC463" s="5"/>
      <c r="AH463" s="5"/>
      <c r="AI463" s="5"/>
    </row>
    <row r="464">
      <c r="E464" s="5"/>
      <c r="F464" s="5"/>
      <c r="G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T464" s="9"/>
      <c r="W464" s="5"/>
      <c r="AB464" s="5"/>
      <c r="AC464" s="5"/>
      <c r="AH464" s="5"/>
      <c r="AI464" s="5"/>
    </row>
    <row r="465">
      <c r="E465" s="5"/>
      <c r="F465" s="5"/>
      <c r="G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T465" s="9"/>
      <c r="W465" s="5"/>
      <c r="AB465" s="5"/>
      <c r="AC465" s="5"/>
      <c r="AH465" s="5"/>
      <c r="AI465" s="5"/>
    </row>
    <row r="466">
      <c r="E466" s="5"/>
      <c r="F466" s="5"/>
      <c r="G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T466" s="9"/>
      <c r="W466" s="5"/>
      <c r="AB466" s="5"/>
      <c r="AC466" s="5"/>
      <c r="AH466" s="5"/>
      <c r="AI466" s="5"/>
    </row>
    <row r="467">
      <c r="E467" s="5"/>
      <c r="F467" s="5"/>
      <c r="G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T467" s="9"/>
      <c r="W467" s="5"/>
      <c r="AB467" s="5"/>
      <c r="AC467" s="5"/>
      <c r="AH467" s="5"/>
      <c r="AI467" s="5"/>
    </row>
    <row r="468">
      <c r="E468" s="5"/>
      <c r="F468" s="5"/>
      <c r="G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T468" s="9"/>
      <c r="W468" s="5"/>
      <c r="AB468" s="5"/>
      <c r="AC468" s="5"/>
      <c r="AH468" s="5"/>
      <c r="AI468" s="5"/>
    </row>
    <row r="469">
      <c r="E469" s="5"/>
      <c r="F469" s="5"/>
      <c r="G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T469" s="9"/>
      <c r="W469" s="5"/>
      <c r="AB469" s="5"/>
      <c r="AC469" s="5"/>
      <c r="AH469" s="5"/>
      <c r="AI469" s="5"/>
    </row>
    <row r="470">
      <c r="E470" s="5"/>
      <c r="F470" s="5"/>
      <c r="G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T470" s="9"/>
      <c r="W470" s="5"/>
      <c r="AB470" s="5"/>
      <c r="AC470" s="5"/>
      <c r="AH470" s="5"/>
      <c r="AI470" s="5"/>
    </row>
    <row r="471">
      <c r="E471" s="5"/>
      <c r="F471" s="5"/>
      <c r="G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T471" s="9"/>
      <c r="W471" s="5"/>
      <c r="AB471" s="5"/>
      <c r="AC471" s="5"/>
      <c r="AH471" s="5"/>
      <c r="AI471" s="5"/>
    </row>
    <row r="472">
      <c r="E472" s="5"/>
      <c r="F472" s="5"/>
      <c r="G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T472" s="9"/>
      <c r="W472" s="5"/>
      <c r="AB472" s="5"/>
      <c r="AC472" s="5"/>
      <c r="AH472" s="5"/>
      <c r="AI472" s="5"/>
    </row>
    <row r="473">
      <c r="E473" s="5"/>
      <c r="F473" s="5"/>
      <c r="G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T473" s="9"/>
      <c r="W473" s="5"/>
      <c r="AB473" s="5"/>
      <c r="AC473" s="5"/>
      <c r="AH473" s="5"/>
      <c r="AI473" s="5"/>
    </row>
    <row r="474">
      <c r="E474" s="5"/>
      <c r="F474" s="5"/>
      <c r="G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T474" s="9"/>
      <c r="W474" s="5"/>
      <c r="AB474" s="5"/>
      <c r="AC474" s="5"/>
      <c r="AH474" s="5"/>
      <c r="AI474" s="5"/>
    </row>
    <row r="475">
      <c r="E475" s="5"/>
      <c r="F475" s="5"/>
      <c r="G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T475" s="9"/>
      <c r="W475" s="5"/>
      <c r="AB475" s="5"/>
      <c r="AC475" s="5"/>
      <c r="AH475" s="5"/>
      <c r="AI475" s="5"/>
    </row>
    <row r="476">
      <c r="E476" s="5"/>
      <c r="F476" s="5"/>
      <c r="G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T476" s="9"/>
      <c r="W476" s="5"/>
      <c r="AB476" s="5"/>
      <c r="AC476" s="5"/>
      <c r="AH476" s="5"/>
      <c r="AI476" s="5"/>
    </row>
    <row r="477">
      <c r="E477" s="5"/>
      <c r="F477" s="5"/>
      <c r="G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T477" s="9"/>
      <c r="W477" s="5"/>
      <c r="AB477" s="5"/>
      <c r="AC477" s="5"/>
      <c r="AH477" s="5"/>
      <c r="AI477" s="5"/>
    </row>
    <row r="478">
      <c r="E478" s="5"/>
      <c r="F478" s="5"/>
      <c r="G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T478" s="9"/>
      <c r="W478" s="5"/>
      <c r="AB478" s="5"/>
      <c r="AC478" s="5"/>
      <c r="AH478" s="5"/>
      <c r="AI478" s="5"/>
    </row>
    <row r="479">
      <c r="E479" s="5"/>
      <c r="F479" s="5"/>
      <c r="G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T479" s="9"/>
      <c r="W479" s="5"/>
      <c r="AB479" s="5"/>
      <c r="AC479" s="5"/>
      <c r="AH479" s="5"/>
      <c r="AI479" s="5"/>
    </row>
    <row r="480">
      <c r="E480" s="5"/>
      <c r="F480" s="5"/>
      <c r="G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T480" s="9"/>
      <c r="W480" s="5"/>
      <c r="AB480" s="5"/>
      <c r="AC480" s="5"/>
      <c r="AH480" s="5"/>
      <c r="AI480" s="5"/>
    </row>
    <row r="481">
      <c r="E481" s="5"/>
      <c r="F481" s="5"/>
      <c r="G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T481" s="9"/>
      <c r="W481" s="5"/>
      <c r="AB481" s="5"/>
      <c r="AC481" s="5"/>
      <c r="AH481" s="5"/>
      <c r="AI481" s="5"/>
    </row>
    <row r="482">
      <c r="E482" s="5"/>
      <c r="F482" s="5"/>
      <c r="G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T482" s="9"/>
      <c r="W482" s="5"/>
      <c r="AB482" s="5"/>
      <c r="AC482" s="5"/>
      <c r="AH482" s="5"/>
      <c r="AI482" s="5"/>
    </row>
    <row r="483">
      <c r="E483" s="5"/>
      <c r="F483" s="5"/>
      <c r="G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T483" s="9"/>
      <c r="W483" s="5"/>
      <c r="AB483" s="5"/>
      <c r="AC483" s="5"/>
      <c r="AH483" s="5"/>
      <c r="AI483" s="5"/>
    </row>
    <row r="484">
      <c r="E484" s="5"/>
      <c r="F484" s="5"/>
      <c r="G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T484" s="9"/>
      <c r="W484" s="5"/>
      <c r="AB484" s="5"/>
      <c r="AC484" s="5"/>
      <c r="AH484" s="5"/>
      <c r="AI484" s="5"/>
    </row>
    <row r="485">
      <c r="E485" s="5"/>
      <c r="F485" s="5"/>
      <c r="G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T485" s="9"/>
      <c r="W485" s="5"/>
      <c r="AB485" s="5"/>
      <c r="AC485" s="5"/>
      <c r="AH485" s="5"/>
      <c r="AI485" s="5"/>
    </row>
    <row r="486">
      <c r="E486" s="5"/>
      <c r="F486" s="5"/>
      <c r="G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T486" s="9"/>
      <c r="W486" s="5"/>
      <c r="AB486" s="5"/>
      <c r="AC486" s="5"/>
      <c r="AH486" s="5"/>
      <c r="AI486" s="5"/>
    </row>
    <row r="487">
      <c r="E487" s="5"/>
      <c r="F487" s="5"/>
      <c r="G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T487" s="9"/>
      <c r="W487" s="5"/>
      <c r="AB487" s="5"/>
      <c r="AC487" s="5"/>
      <c r="AH487" s="5"/>
      <c r="AI487" s="5"/>
    </row>
    <row r="488">
      <c r="E488" s="5"/>
      <c r="F488" s="5"/>
      <c r="G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T488" s="9"/>
      <c r="W488" s="5"/>
      <c r="AB488" s="5"/>
      <c r="AC488" s="5"/>
      <c r="AH488" s="5"/>
      <c r="AI488" s="5"/>
    </row>
    <row r="489">
      <c r="E489" s="5"/>
      <c r="F489" s="5"/>
      <c r="G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T489" s="9"/>
      <c r="W489" s="5"/>
      <c r="AB489" s="5"/>
      <c r="AC489" s="5"/>
      <c r="AH489" s="5"/>
      <c r="AI489" s="5"/>
    </row>
    <row r="490">
      <c r="E490" s="5"/>
      <c r="F490" s="5"/>
      <c r="G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T490" s="9"/>
      <c r="W490" s="5"/>
      <c r="AB490" s="5"/>
      <c r="AC490" s="5"/>
      <c r="AH490" s="5"/>
      <c r="AI490" s="5"/>
    </row>
    <row r="491">
      <c r="E491" s="5"/>
      <c r="F491" s="5"/>
      <c r="G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T491" s="9"/>
      <c r="W491" s="5"/>
      <c r="AB491" s="5"/>
      <c r="AC491" s="5"/>
      <c r="AH491" s="5"/>
      <c r="AI491" s="5"/>
    </row>
    <row r="492">
      <c r="E492" s="5"/>
      <c r="F492" s="5"/>
      <c r="G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T492" s="9"/>
      <c r="W492" s="5"/>
      <c r="AB492" s="5"/>
      <c r="AC492" s="5"/>
      <c r="AH492" s="5"/>
      <c r="AI492" s="5"/>
    </row>
    <row r="493">
      <c r="E493" s="5"/>
      <c r="F493" s="5"/>
      <c r="G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T493" s="9"/>
      <c r="W493" s="5"/>
      <c r="AB493" s="5"/>
      <c r="AC493" s="5"/>
      <c r="AH493" s="5"/>
      <c r="AI493" s="5"/>
    </row>
    <row r="494">
      <c r="E494" s="5"/>
      <c r="F494" s="5"/>
      <c r="G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T494" s="9"/>
      <c r="W494" s="5"/>
      <c r="AB494" s="5"/>
      <c r="AC494" s="5"/>
      <c r="AH494" s="5"/>
      <c r="AI494" s="5"/>
    </row>
    <row r="495">
      <c r="E495" s="5"/>
      <c r="F495" s="5"/>
      <c r="G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T495" s="9"/>
      <c r="W495" s="5"/>
      <c r="AB495" s="5"/>
      <c r="AC495" s="5"/>
      <c r="AH495" s="5"/>
      <c r="AI495" s="5"/>
    </row>
    <row r="496">
      <c r="E496" s="5"/>
      <c r="F496" s="5"/>
      <c r="G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T496" s="9"/>
      <c r="W496" s="5"/>
      <c r="AB496" s="5"/>
      <c r="AC496" s="5"/>
      <c r="AH496" s="5"/>
      <c r="AI496" s="5"/>
    </row>
    <row r="497">
      <c r="E497" s="5"/>
      <c r="F497" s="5"/>
      <c r="G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T497" s="9"/>
      <c r="W497" s="5"/>
      <c r="AB497" s="5"/>
      <c r="AC497" s="5"/>
      <c r="AH497" s="5"/>
      <c r="AI497" s="5"/>
    </row>
    <row r="498">
      <c r="E498" s="5"/>
      <c r="F498" s="5"/>
      <c r="G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T498" s="9"/>
      <c r="W498" s="5"/>
      <c r="AB498" s="5"/>
      <c r="AC498" s="5"/>
      <c r="AH498" s="5"/>
      <c r="AI498" s="5"/>
    </row>
    <row r="499">
      <c r="E499" s="5"/>
      <c r="F499" s="5"/>
      <c r="G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T499" s="9"/>
      <c r="W499" s="5"/>
      <c r="AB499" s="5"/>
      <c r="AC499" s="5"/>
      <c r="AH499" s="5"/>
      <c r="AI499" s="5"/>
    </row>
    <row r="500">
      <c r="E500" s="5"/>
      <c r="F500" s="5"/>
      <c r="G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T500" s="9"/>
      <c r="W500" s="5"/>
      <c r="AB500" s="5"/>
      <c r="AC500" s="5"/>
      <c r="AH500" s="5"/>
      <c r="AI500" s="5"/>
    </row>
    <row r="501">
      <c r="E501" s="5"/>
      <c r="F501" s="5"/>
      <c r="G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T501" s="9"/>
      <c r="W501" s="5"/>
      <c r="AB501" s="5"/>
      <c r="AC501" s="5"/>
      <c r="AH501" s="5"/>
      <c r="AI501" s="5"/>
    </row>
    <row r="502">
      <c r="E502" s="5"/>
      <c r="F502" s="5"/>
      <c r="G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T502" s="9"/>
      <c r="W502" s="5"/>
      <c r="AB502" s="5"/>
      <c r="AC502" s="5"/>
      <c r="AH502" s="5"/>
      <c r="AI502" s="5"/>
    </row>
    <row r="503">
      <c r="E503" s="5"/>
      <c r="F503" s="5"/>
      <c r="G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T503" s="9"/>
      <c r="W503" s="5"/>
      <c r="AB503" s="5"/>
      <c r="AC503" s="5"/>
      <c r="AH503" s="5"/>
      <c r="AI503" s="5"/>
    </row>
    <row r="504">
      <c r="E504" s="5"/>
      <c r="F504" s="5"/>
      <c r="G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T504" s="9"/>
      <c r="W504" s="5"/>
      <c r="AB504" s="5"/>
      <c r="AC504" s="5"/>
      <c r="AH504" s="5"/>
      <c r="AI504" s="5"/>
    </row>
    <row r="505">
      <c r="E505" s="5"/>
      <c r="F505" s="5"/>
      <c r="G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T505" s="9"/>
      <c r="W505" s="5"/>
      <c r="AB505" s="5"/>
      <c r="AC505" s="5"/>
      <c r="AH505" s="5"/>
      <c r="AI505" s="5"/>
    </row>
    <row r="506">
      <c r="E506" s="5"/>
      <c r="F506" s="5"/>
      <c r="G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T506" s="9"/>
      <c r="W506" s="5"/>
      <c r="AB506" s="5"/>
      <c r="AC506" s="5"/>
      <c r="AH506" s="5"/>
      <c r="AI506" s="5"/>
    </row>
    <row r="507">
      <c r="E507" s="5"/>
      <c r="F507" s="5"/>
      <c r="G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T507" s="9"/>
      <c r="W507" s="5"/>
      <c r="AB507" s="5"/>
      <c r="AC507" s="5"/>
      <c r="AH507" s="5"/>
      <c r="AI507" s="5"/>
    </row>
    <row r="508">
      <c r="E508" s="5"/>
      <c r="F508" s="5"/>
      <c r="G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T508" s="9"/>
      <c r="W508" s="5"/>
      <c r="AB508" s="5"/>
      <c r="AC508" s="5"/>
      <c r="AH508" s="5"/>
      <c r="AI508" s="5"/>
    </row>
    <row r="509">
      <c r="E509" s="5"/>
      <c r="F509" s="5"/>
      <c r="G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T509" s="9"/>
      <c r="W509" s="5"/>
      <c r="AB509" s="5"/>
      <c r="AC509" s="5"/>
      <c r="AH509" s="5"/>
      <c r="AI509" s="5"/>
    </row>
    <row r="510">
      <c r="E510" s="5"/>
      <c r="F510" s="5"/>
      <c r="G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T510" s="9"/>
      <c r="W510" s="5"/>
      <c r="AB510" s="5"/>
      <c r="AC510" s="5"/>
      <c r="AH510" s="5"/>
      <c r="AI510" s="5"/>
    </row>
    <row r="511">
      <c r="E511" s="5"/>
      <c r="F511" s="5"/>
      <c r="G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T511" s="9"/>
      <c r="W511" s="5"/>
      <c r="AB511" s="5"/>
      <c r="AC511" s="5"/>
      <c r="AH511" s="5"/>
      <c r="AI511" s="5"/>
    </row>
    <row r="512">
      <c r="E512" s="5"/>
      <c r="F512" s="5"/>
      <c r="G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T512" s="9"/>
      <c r="W512" s="5"/>
      <c r="AB512" s="5"/>
      <c r="AC512" s="5"/>
      <c r="AH512" s="5"/>
      <c r="AI512" s="5"/>
    </row>
    <row r="513">
      <c r="E513" s="5"/>
      <c r="F513" s="5"/>
      <c r="G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T513" s="9"/>
      <c r="W513" s="5"/>
      <c r="AB513" s="5"/>
      <c r="AC513" s="5"/>
      <c r="AH513" s="5"/>
      <c r="AI513" s="5"/>
    </row>
    <row r="514">
      <c r="E514" s="5"/>
      <c r="F514" s="5"/>
      <c r="G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T514" s="9"/>
      <c r="W514" s="5"/>
      <c r="AB514" s="5"/>
      <c r="AC514" s="5"/>
      <c r="AH514" s="5"/>
      <c r="AI514" s="5"/>
    </row>
    <row r="515">
      <c r="E515" s="5"/>
      <c r="F515" s="5"/>
      <c r="G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T515" s="9"/>
      <c r="W515" s="5"/>
      <c r="AB515" s="5"/>
      <c r="AC515" s="5"/>
      <c r="AH515" s="5"/>
      <c r="AI515" s="5"/>
    </row>
    <row r="516">
      <c r="E516" s="5"/>
      <c r="F516" s="5"/>
      <c r="G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T516" s="9"/>
      <c r="W516" s="5"/>
      <c r="AB516" s="5"/>
      <c r="AC516" s="5"/>
      <c r="AH516" s="5"/>
      <c r="AI516" s="5"/>
    </row>
    <row r="517">
      <c r="E517" s="5"/>
      <c r="F517" s="5"/>
      <c r="G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T517" s="9"/>
      <c r="W517" s="5"/>
      <c r="AB517" s="5"/>
      <c r="AC517" s="5"/>
      <c r="AH517" s="5"/>
      <c r="AI517" s="5"/>
    </row>
    <row r="518">
      <c r="E518" s="5"/>
      <c r="F518" s="5"/>
      <c r="G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T518" s="9"/>
      <c r="W518" s="5"/>
      <c r="AB518" s="5"/>
      <c r="AC518" s="5"/>
      <c r="AH518" s="5"/>
      <c r="AI518" s="5"/>
    </row>
    <row r="519">
      <c r="E519" s="5"/>
      <c r="F519" s="5"/>
      <c r="G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T519" s="9"/>
      <c r="W519" s="5"/>
      <c r="AB519" s="5"/>
      <c r="AC519" s="5"/>
      <c r="AH519" s="5"/>
      <c r="AI519" s="5"/>
    </row>
    <row r="520">
      <c r="E520" s="5"/>
      <c r="F520" s="5"/>
      <c r="G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T520" s="9"/>
      <c r="W520" s="5"/>
      <c r="AB520" s="5"/>
      <c r="AC520" s="5"/>
      <c r="AH520" s="5"/>
      <c r="AI520" s="5"/>
    </row>
    <row r="521">
      <c r="E521" s="5"/>
      <c r="F521" s="5"/>
      <c r="G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T521" s="9"/>
      <c r="W521" s="5"/>
      <c r="AB521" s="5"/>
      <c r="AC521" s="5"/>
      <c r="AH521" s="5"/>
      <c r="AI521" s="5"/>
    </row>
    <row r="522">
      <c r="E522" s="5"/>
      <c r="F522" s="5"/>
      <c r="G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T522" s="9"/>
      <c r="W522" s="5"/>
      <c r="AB522" s="5"/>
      <c r="AC522" s="5"/>
      <c r="AH522" s="5"/>
      <c r="AI522" s="5"/>
    </row>
    <row r="523">
      <c r="E523" s="5"/>
      <c r="F523" s="5"/>
      <c r="G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T523" s="9"/>
      <c r="W523" s="5"/>
      <c r="AB523" s="5"/>
      <c r="AC523" s="5"/>
      <c r="AH523" s="5"/>
      <c r="AI523" s="5"/>
    </row>
    <row r="524">
      <c r="E524" s="5"/>
      <c r="F524" s="5"/>
      <c r="G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T524" s="9"/>
      <c r="W524" s="5"/>
      <c r="AB524" s="5"/>
      <c r="AC524" s="5"/>
      <c r="AH524" s="5"/>
      <c r="AI524" s="5"/>
    </row>
    <row r="525">
      <c r="E525" s="5"/>
      <c r="F525" s="5"/>
      <c r="G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T525" s="9"/>
      <c r="W525" s="5"/>
      <c r="AB525" s="5"/>
      <c r="AC525" s="5"/>
      <c r="AH525" s="5"/>
      <c r="AI525" s="5"/>
    </row>
    <row r="526">
      <c r="E526" s="5"/>
      <c r="F526" s="5"/>
      <c r="G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T526" s="9"/>
      <c r="W526" s="5"/>
      <c r="AB526" s="5"/>
      <c r="AC526" s="5"/>
      <c r="AH526" s="5"/>
      <c r="AI526" s="5"/>
    </row>
    <row r="527">
      <c r="E527" s="5"/>
      <c r="F527" s="5"/>
      <c r="G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T527" s="9"/>
      <c r="W527" s="5"/>
      <c r="AB527" s="5"/>
      <c r="AC527" s="5"/>
      <c r="AH527" s="5"/>
      <c r="AI527" s="5"/>
    </row>
    <row r="528">
      <c r="E528" s="5"/>
      <c r="F528" s="5"/>
      <c r="G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T528" s="9"/>
      <c r="W528" s="5"/>
      <c r="AB528" s="5"/>
      <c r="AC528" s="5"/>
      <c r="AH528" s="5"/>
      <c r="AI528" s="5"/>
    </row>
    <row r="529">
      <c r="E529" s="5"/>
      <c r="F529" s="5"/>
      <c r="G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T529" s="9"/>
      <c r="W529" s="5"/>
      <c r="AB529" s="5"/>
      <c r="AC529" s="5"/>
      <c r="AH529" s="5"/>
      <c r="AI529" s="5"/>
    </row>
    <row r="530">
      <c r="E530" s="5"/>
      <c r="F530" s="5"/>
      <c r="G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T530" s="9"/>
      <c r="W530" s="5"/>
      <c r="AB530" s="5"/>
      <c r="AC530" s="5"/>
      <c r="AH530" s="5"/>
      <c r="AI530" s="5"/>
    </row>
    <row r="531">
      <c r="E531" s="5"/>
      <c r="F531" s="5"/>
      <c r="G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T531" s="9"/>
      <c r="W531" s="5"/>
      <c r="AB531" s="5"/>
      <c r="AC531" s="5"/>
      <c r="AH531" s="5"/>
      <c r="AI531" s="5"/>
    </row>
    <row r="532">
      <c r="E532" s="5"/>
      <c r="F532" s="5"/>
      <c r="G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T532" s="9"/>
      <c r="W532" s="5"/>
      <c r="AB532" s="5"/>
      <c r="AC532" s="5"/>
      <c r="AH532" s="5"/>
      <c r="AI532" s="5"/>
    </row>
    <row r="533">
      <c r="E533" s="5"/>
      <c r="F533" s="5"/>
      <c r="G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T533" s="9"/>
      <c r="W533" s="5"/>
      <c r="AB533" s="5"/>
      <c r="AC533" s="5"/>
      <c r="AH533" s="5"/>
      <c r="AI533" s="5"/>
    </row>
    <row r="534">
      <c r="E534" s="5"/>
      <c r="F534" s="5"/>
      <c r="G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T534" s="9"/>
      <c r="W534" s="5"/>
      <c r="AB534" s="5"/>
      <c r="AC534" s="5"/>
      <c r="AH534" s="5"/>
      <c r="AI534" s="5"/>
    </row>
    <row r="535">
      <c r="E535" s="5"/>
      <c r="F535" s="5"/>
      <c r="G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T535" s="9"/>
      <c r="W535" s="5"/>
      <c r="AB535" s="5"/>
      <c r="AC535" s="5"/>
      <c r="AH535" s="5"/>
      <c r="AI535" s="5"/>
    </row>
    <row r="536">
      <c r="E536" s="5"/>
      <c r="F536" s="5"/>
      <c r="G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T536" s="9"/>
      <c r="W536" s="5"/>
      <c r="AB536" s="5"/>
      <c r="AC536" s="5"/>
      <c r="AH536" s="5"/>
      <c r="AI536" s="5"/>
    </row>
    <row r="537">
      <c r="E537" s="5"/>
      <c r="F537" s="5"/>
      <c r="G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T537" s="9"/>
      <c r="W537" s="5"/>
      <c r="AB537" s="5"/>
      <c r="AC537" s="5"/>
      <c r="AH537" s="5"/>
      <c r="AI537" s="5"/>
    </row>
    <row r="538">
      <c r="E538" s="5"/>
      <c r="F538" s="5"/>
      <c r="G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T538" s="9"/>
      <c r="W538" s="5"/>
      <c r="AB538" s="5"/>
      <c r="AC538" s="5"/>
      <c r="AH538" s="5"/>
      <c r="AI538" s="5"/>
    </row>
    <row r="539">
      <c r="E539" s="5"/>
      <c r="F539" s="5"/>
      <c r="G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T539" s="9"/>
      <c r="W539" s="5"/>
      <c r="AB539" s="5"/>
      <c r="AC539" s="5"/>
      <c r="AH539" s="5"/>
      <c r="AI539" s="5"/>
    </row>
    <row r="540">
      <c r="E540" s="5"/>
      <c r="F540" s="5"/>
      <c r="G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T540" s="9"/>
      <c r="W540" s="5"/>
      <c r="AB540" s="5"/>
      <c r="AC540" s="5"/>
      <c r="AH540" s="5"/>
      <c r="AI540" s="5"/>
    </row>
    <row r="541">
      <c r="E541" s="5"/>
      <c r="F541" s="5"/>
      <c r="G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T541" s="9"/>
      <c r="W541" s="5"/>
      <c r="AB541" s="5"/>
      <c r="AC541" s="5"/>
      <c r="AH541" s="5"/>
      <c r="AI541" s="5"/>
    </row>
    <row r="542">
      <c r="E542" s="5"/>
      <c r="F542" s="5"/>
      <c r="G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T542" s="9"/>
      <c r="W542" s="5"/>
      <c r="AB542" s="5"/>
      <c r="AC542" s="5"/>
      <c r="AH542" s="5"/>
      <c r="AI542" s="5"/>
    </row>
    <row r="543">
      <c r="E543" s="5"/>
      <c r="F543" s="5"/>
      <c r="G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T543" s="9"/>
      <c r="W543" s="5"/>
      <c r="AB543" s="5"/>
      <c r="AC543" s="5"/>
      <c r="AH543" s="5"/>
      <c r="AI543" s="5"/>
    </row>
    <row r="544">
      <c r="E544" s="5"/>
      <c r="F544" s="5"/>
      <c r="G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T544" s="9"/>
      <c r="W544" s="5"/>
      <c r="AB544" s="5"/>
      <c r="AC544" s="5"/>
      <c r="AH544" s="5"/>
      <c r="AI544" s="5"/>
    </row>
    <row r="545">
      <c r="E545" s="5"/>
      <c r="F545" s="5"/>
      <c r="G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T545" s="9"/>
      <c r="W545" s="5"/>
      <c r="AB545" s="5"/>
      <c r="AC545" s="5"/>
      <c r="AH545" s="5"/>
      <c r="AI545" s="5"/>
    </row>
    <row r="546">
      <c r="E546" s="5"/>
      <c r="F546" s="5"/>
      <c r="G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T546" s="9"/>
      <c r="W546" s="5"/>
      <c r="AB546" s="5"/>
      <c r="AC546" s="5"/>
      <c r="AH546" s="5"/>
      <c r="AI546" s="5"/>
    </row>
    <row r="547">
      <c r="E547" s="5"/>
      <c r="F547" s="5"/>
      <c r="G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T547" s="9"/>
      <c r="W547" s="5"/>
      <c r="AB547" s="5"/>
      <c r="AC547" s="5"/>
      <c r="AH547" s="5"/>
      <c r="AI547" s="5"/>
    </row>
    <row r="548">
      <c r="E548" s="5"/>
      <c r="F548" s="5"/>
      <c r="G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T548" s="9"/>
      <c r="W548" s="5"/>
      <c r="AB548" s="5"/>
      <c r="AC548" s="5"/>
      <c r="AH548" s="5"/>
      <c r="AI548" s="5"/>
    </row>
    <row r="549">
      <c r="E549" s="5"/>
      <c r="F549" s="5"/>
      <c r="G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T549" s="9"/>
      <c r="W549" s="5"/>
      <c r="AB549" s="5"/>
      <c r="AC549" s="5"/>
      <c r="AH549" s="5"/>
      <c r="AI549" s="5"/>
    </row>
    <row r="550">
      <c r="E550" s="5"/>
      <c r="F550" s="5"/>
      <c r="G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T550" s="9"/>
      <c r="W550" s="5"/>
      <c r="AB550" s="5"/>
      <c r="AC550" s="5"/>
      <c r="AH550" s="5"/>
      <c r="AI550" s="5"/>
    </row>
    <row r="551">
      <c r="E551" s="5"/>
      <c r="F551" s="5"/>
      <c r="G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T551" s="9"/>
      <c r="W551" s="5"/>
      <c r="AB551" s="5"/>
      <c r="AC551" s="5"/>
      <c r="AH551" s="5"/>
      <c r="AI551" s="5"/>
    </row>
    <row r="552">
      <c r="E552" s="5"/>
      <c r="F552" s="5"/>
      <c r="G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T552" s="9"/>
      <c r="W552" s="5"/>
      <c r="AB552" s="5"/>
      <c r="AC552" s="5"/>
      <c r="AH552" s="5"/>
      <c r="AI552" s="5"/>
    </row>
    <row r="553">
      <c r="E553" s="5"/>
      <c r="F553" s="5"/>
      <c r="G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T553" s="9"/>
      <c r="W553" s="5"/>
      <c r="AB553" s="5"/>
      <c r="AC553" s="5"/>
      <c r="AH553" s="5"/>
      <c r="AI553" s="5"/>
    </row>
    <row r="554">
      <c r="E554" s="5"/>
      <c r="F554" s="5"/>
      <c r="G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T554" s="9"/>
      <c r="W554" s="5"/>
      <c r="AB554" s="5"/>
      <c r="AC554" s="5"/>
      <c r="AH554" s="5"/>
      <c r="AI554" s="5"/>
    </row>
    <row r="555">
      <c r="E555" s="5"/>
      <c r="F555" s="5"/>
      <c r="G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T555" s="9"/>
      <c r="W555" s="5"/>
      <c r="AB555" s="5"/>
      <c r="AC555" s="5"/>
      <c r="AH555" s="5"/>
      <c r="AI555" s="5"/>
    </row>
    <row r="556">
      <c r="E556" s="5"/>
      <c r="F556" s="5"/>
      <c r="G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T556" s="9"/>
      <c r="W556" s="5"/>
      <c r="AB556" s="5"/>
      <c r="AC556" s="5"/>
      <c r="AH556" s="5"/>
      <c r="AI556" s="5"/>
    </row>
    <row r="557">
      <c r="E557" s="5"/>
      <c r="F557" s="5"/>
      <c r="G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T557" s="9"/>
      <c r="W557" s="5"/>
      <c r="AB557" s="5"/>
      <c r="AC557" s="5"/>
      <c r="AH557" s="5"/>
      <c r="AI557" s="5"/>
    </row>
    <row r="558">
      <c r="E558" s="5"/>
      <c r="F558" s="5"/>
      <c r="G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T558" s="9"/>
      <c r="W558" s="5"/>
      <c r="AB558" s="5"/>
      <c r="AC558" s="5"/>
      <c r="AH558" s="5"/>
      <c r="AI558" s="5"/>
    </row>
    <row r="559">
      <c r="E559" s="5"/>
      <c r="F559" s="5"/>
      <c r="G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T559" s="9"/>
      <c r="W559" s="5"/>
      <c r="AB559" s="5"/>
      <c r="AC559" s="5"/>
      <c r="AH559" s="5"/>
      <c r="AI559" s="5"/>
    </row>
    <row r="560">
      <c r="E560" s="5"/>
      <c r="F560" s="5"/>
      <c r="G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T560" s="9"/>
      <c r="W560" s="5"/>
      <c r="AB560" s="5"/>
      <c r="AC560" s="5"/>
      <c r="AH560" s="5"/>
      <c r="AI560" s="5"/>
    </row>
    <row r="561">
      <c r="E561" s="5"/>
      <c r="F561" s="5"/>
      <c r="G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T561" s="9"/>
      <c r="W561" s="5"/>
      <c r="AB561" s="5"/>
      <c r="AC561" s="5"/>
      <c r="AH561" s="5"/>
      <c r="AI561" s="5"/>
    </row>
    <row r="562">
      <c r="E562" s="5"/>
      <c r="F562" s="5"/>
      <c r="G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T562" s="9"/>
      <c r="W562" s="5"/>
      <c r="AB562" s="5"/>
      <c r="AC562" s="5"/>
      <c r="AH562" s="5"/>
      <c r="AI562" s="5"/>
    </row>
    <row r="563">
      <c r="E563" s="5"/>
      <c r="F563" s="5"/>
      <c r="G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T563" s="9"/>
      <c r="W563" s="5"/>
      <c r="AB563" s="5"/>
      <c r="AC563" s="5"/>
      <c r="AH563" s="5"/>
      <c r="AI563" s="5"/>
    </row>
    <row r="564">
      <c r="E564" s="5"/>
      <c r="F564" s="5"/>
      <c r="G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T564" s="9"/>
      <c r="W564" s="5"/>
      <c r="AB564" s="5"/>
      <c r="AC564" s="5"/>
      <c r="AH564" s="5"/>
      <c r="AI564" s="5"/>
    </row>
    <row r="565">
      <c r="E565" s="5"/>
      <c r="F565" s="5"/>
      <c r="G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T565" s="9"/>
      <c r="W565" s="5"/>
      <c r="AB565" s="5"/>
      <c r="AC565" s="5"/>
      <c r="AH565" s="5"/>
      <c r="AI565" s="5"/>
    </row>
    <row r="566">
      <c r="E566" s="5"/>
      <c r="F566" s="5"/>
      <c r="G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T566" s="9"/>
      <c r="W566" s="5"/>
      <c r="AB566" s="5"/>
      <c r="AC566" s="5"/>
      <c r="AH566" s="5"/>
      <c r="AI566" s="5"/>
    </row>
    <row r="567">
      <c r="E567" s="5"/>
      <c r="F567" s="5"/>
      <c r="G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T567" s="9"/>
      <c r="W567" s="5"/>
      <c r="AB567" s="5"/>
      <c r="AC567" s="5"/>
      <c r="AH567" s="5"/>
      <c r="AI567" s="5"/>
    </row>
    <row r="568">
      <c r="E568" s="5"/>
      <c r="F568" s="5"/>
      <c r="G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T568" s="9"/>
      <c r="W568" s="5"/>
      <c r="AB568" s="5"/>
      <c r="AC568" s="5"/>
      <c r="AH568" s="5"/>
      <c r="AI568" s="5"/>
    </row>
    <row r="569">
      <c r="E569" s="5"/>
      <c r="F569" s="5"/>
      <c r="G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T569" s="9"/>
      <c r="W569" s="5"/>
      <c r="AB569" s="5"/>
      <c r="AC569" s="5"/>
      <c r="AH569" s="5"/>
      <c r="AI569" s="5"/>
    </row>
    <row r="570">
      <c r="E570" s="5"/>
      <c r="F570" s="5"/>
      <c r="G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T570" s="9"/>
      <c r="W570" s="5"/>
      <c r="AB570" s="5"/>
      <c r="AC570" s="5"/>
      <c r="AH570" s="5"/>
      <c r="AI570" s="5"/>
    </row>
    <row r="571">
      <c r="E571" s="5"/>
      <c r="F571" s="5"/>
      <c r="G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T571" s="9"/>
      <c r="W571" s="5"/>
      <c r="AB571" s="5"/>
      <c r="AC571" s="5"/>
      <c r="AH571" s="5"/>
      <c r="AI571" s="5"/>
    </row>
    <row r="572">
      <c r="E572" s="5"/>
      <c r="F572" s="5"/>
      <c r="G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T572" s="9"/>
      <c r="W572" s="5"/>
      <c r="AB572" s="5"/>
      <c r="AC572" s="5"/>
      <c r="AH572" s="5"/>
      <c r="AI572" s="5"/>
    </row>
    <row r="573">
      <c r="E573" s="5"/>
      <c r="F573" s="5"/>
      <c r="G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T573" s="9"/>
      <c r="W573" s="5"/>
      <c r="AB573" s="5"/>
      <c r="AC573" s="5"/>
      <c r="AH573" s="5"/>
      <c r="AI573" s="5"/>
    </row>
    <row r="574">
      <c r="E574" s="5"/>
      <c r="F574" s="5"/>
      <c r="G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T574" s="9"/>
      <c r="W574" s="5"/>
      <c r="AB574" s="5"/>
      <c r="AC574" s="5"/>
      <c r="AH574" s="5"/>
      <c r="AI574" s="5"/>
    </row>
    <row r="575">
      <c r="E575" s="5"/>
      <c r="F575" s="5"/>
      <c r="G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T575" s="9"/>
      <c r="W575" s="5"/>
      <c r="AB575" s="5"/>
      <c r="AC575" s="5"/>
      <c r="AH575" s="5"/>
      <c r="AI575" s="5"/>
    </row>
    <row r="576">
      <c r="E576" s="5"/>
      <c r="F576" s="5"/>
      <c r="G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T576" s="9"/>
      <c r="W576" s="5"/>
      <c r="AB576" s="5"/>
      <c r="AC576" s="5"/>
      <c r="AH576" s="5"/>
      <c r="AI576" s="5"/>
    </row>
    <row r="577">
      <c r="E577" s="5"/>
      <c r="F577" s="5"/>
      <c r="G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T577" s="9"/>
      <c r="W577" s="5"/>
      <c r="AB577" s="5"/>
      <c r="AC577" s="5"/>
      <c r="AH577" s="5"/>
      <c r="AI577" s="5"/>
    </row>
    <row r="578">
      <c r="E578" s="5"/>
      <c r="F578" s="5"/>
      <c r="G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T578" s="9"/>
      <c r="W578" s="5"/>
      <c r="AB578" s="5"/>
      <c r="AC578" s="5"/>
      <c r="AH578" s="5"/>
      <c r="AI578" s="5"/>
    </row>
    <row r="579">
      <c r="E579" s="5"/>
      <c r="F579" s="5"/>
      <c r="G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T579" s="9"/>
      <c r="W579" s="5"/>
      <c r="AB579" s="5"/>
      <c r="AC579" s="5"/>
      <c r="AH579" s="5"/>
      <c r="AI579" s="5"/>
    </row>
    <row r="580">
      <c r="E580" s="5"/>
      <c r="F580" s="5"/>
      <c r="G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T580" s="9"/>
      <c r="W580" s="5"/>
      <c r="AB580" s="5"/>
      <c r="AC580" s="5"/>
      <c r="AH580" s="5"/>
      <c r="AI580" s="5"/>
    </row>
    <row r="581">
      <c r="E581" s="5"/>
      <c r="F581" s="5"/>
      <c r="G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T581" s="9"/>
      <c r="W581" s="5"/>
      <c r="AB581" s="5"/>
      <c r="AC581" s="5"/>
      <c r="AH581" s="5"/>
      <c r="AI581" s="5"/>
    </row>
    <row r="582">
      <c r="E582" s="5"/>
      <c r="F582" s="5"/>
      <c r="G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T582" s="9"/>
      <c r="W582" s="5"/>
      <c r="AB582" s="5"/>
      <c r="AC582" s="5"/>
      <c r="AH582" s="5"/>
      <c r="AI582" s="5"/>
    </row>
    <row r="583">
      <c r="E583" s="5"/>
      <c r="F583" s="5"/>
      <c r="G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T583" s="9"/>
      <c r="W583" s="5"/>
      <c r="AB583" s="5"/>
      <c r="AC583" s="5"/>
      <c r="AH583" s="5"/>
      <c r="AI583" s="5"/>
    </row>
    <row r="584">
      <c r="E584" s="5"/>
      <c r="F584" s="5"/>
      <c r="G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T584" s="9"/>
      <c r="W584" s="5"/>
      <c r="AB584" s="5"/>
      <c r="AC584" s="5"/>
      <c r="AH584" s="5"/>
      <c r="AI584" s="5"/>
    </row>
    <row r="585">
      <c r="E585" s="5"/>
      <c r="F585" s="5"/>
      <c r="G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T585" s="9"/>
      <c r="W585" s="5"/>
      <c r="AB585" s="5"/>
      <c r="AC585" s="5"/>
      <c r="AH585" s="5"/>
      <c r="AI585" s="5"/>
    </row>
    <row r="586">
      <c r="E586" s="5"/>
      <c r="F586" s="5"/>
      <c r="G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T586" s="9"/>
      <c r="W586" s="5"/>
      <c r="AB586" s="5"/>
      <c r="AC586" s="5"/>
      <c r="AH586" s="5"/>
      <c r="AI586" s="5"/>
    </row>
    <row r="587">
      <c r="E587" s="5"/>
      <c r="F587" s="5"/>
      <c r="G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T587" s="9"/>
      <c r="W587" s="5"/>
      <c r="AB587" s="5"/>
      <c r="AC587" s="5"/>
      <c r="AH587" s="5"/>
      <c r="AI587" s="5"/>
    </row>
    <row r="588">
      <c r="E588" s="5"/>
      <c r="F588" s="5"/>
      <c r="G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T588" s="9"/>
      <c r="W588" s="5"/>
      <c r="AB588" s="5"/>
      <c r="AC588" s="5"/>
      <c r="AH588" s="5"/>
      <c r="AI588" s="5"/>
    </row>
    <row r="589">
      <c r="E589" s="5"/>
      <c r="F589" s="5"/>
      <c r="G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T589" s="9"/>
      <c r="W589" s="5"/>
      <c r="AB589" s="5"/>
      <c r="AC589" s="5"/>
      <c r="AH589" s="5"/>
      <c r="AI589" s="5"/>
    </row>
    <row r="590">
      <c r="E590" s="5"/>
      <c r="F590" s="5"/>
      <c r="G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T590" s="9"/>
      <c r="W590" s="5"/>
      <c r="AB590" s="5"/>
      <c r="AC590" s="5"/>
      <c r="AH590" s="5"/>
      <c r="AI590" s="5"/>
    </row>
    <row r="591">
      <c r="E591" s="5"/>
      <c r="F591" s="5"/>
      <c r="G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T591" s="9"/>
      <c r="W591" s="5"/>
      <c r="AB591" s="5"/>
      <c r="AC591" s="5"/>
      <c r="AH591" s="5"/>
      <c r="AI591" s="5"/>
    </row>
    <row r="592">
      <c r="E592" s="5"/>
      <c r="F592" s="5"/>
      <c r="G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T592" s="9"/>
      <c r="W592" s="5"/>
      <c r="AB592" s="5"/>
      <c r="AC592" s="5"/>
      <c r="AH592" s="5"/>
      <c r="AI592" s="5"/>
    </row>
    <row r="593">
      <c r="E593" s="5"/>
      <c r="F593" s="5"/>
      <c r="G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T593" s="9"/>
      <c r="W593" s="5"/>
      <c r="AB593" s="5"/>
      <c r="AC593" s="5"/>
      <c r="AH593" s="5"/>
      <c r="AI593" s="5"/>
    </row>
    <row r="594">
      <c r="E594" s="5"/>
      <c r="F594" s="5"/>
      <c r="G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T594" s="9"/>
      <c r="W594" s="5"/>
      <c r="AB594" s="5"/>
      <c r="AC594" s="5"/>
      <c r="AH594" s="5"/>
      <c r="AI594" s="5"/>
    </row>
    <row r="595">
      <c r="E595" s="5"/>
      <c r="F595" s="5"/>
      <c r="G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T595" s="9"/>
      <c r="W595" s="5"/>
      <c r="AB595" s="5"/>
      <c r="AC595" s="5"/>
      <c r="AH595" s="5"/>
      <c r="AI595" s="5"/>
    </row>
    <row r="596">
      <c r="E596" s="5"/>
      <c r="F596" s="5"/>
      <c r="G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T596" s="9"/>
      <c r="W596" s="5"/>
      <c r="AB596" s="5"/>
      <c r="AC596" s="5"/>
      <c r="AH596" s="5"/>
      <c r="AI596" s="5"/>
    </row>
    <row r="597">
      <c r="E597" s="5"/>
      <c r="F597" s="5"/>
      <c r="G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T597" s="9"/>
      <c r="W597" s="5"/>
      <c r="AB597" s="5"/>
      <c r="AC597" s="5"/>
      <c r="AH597" s="5"/>
      <c r="AI597" s="5"/>
    </row>
    <row r="598">
      <c r="E598" s="5"/>
      <c r="F598" s="5"/>
      <c r="G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T598" s="9"/>
      <c r="W598" s="5"/>
      <c r="AB598" s="5"/>
      <c r="AC598" s="5"/>
      <c r="AH598" s="5"/>
      <c r="AI598" s="5"/>
    </row>
    <row r="599">
      <c r="E599" s="5"/>
      <c r="F599" s="5"/>
      <c r="G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T599" s="9"/>
      <c r="W599" s="5"/>
      <c r="AB599" s="5"/>
      <c r="AC599" s="5"/>
      <c r="AH599" s="5"/>
      <c r="AI599" s="5"/>
    </row>
    <row r="600">
      <c r="E600" s="5"/>
      <c r="F600" s="5"/>
      <c r="G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T600" s="9"/>
      <c r="W600" s="5"/>
      <c r="AB600" s="5"/>
      <c r="AC600" s="5"/>
      <c r="AH600" s="5"/>
      <c r="AI600" s="5"/>
    </row>
    <row r="601">
      <c r="E601" s="5"/>
      <c r="F601" s="5"/>
      <c r="G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T601" s="9"/>
      <c r="W601" s="5"/>
      <c r="AB601" s="5"/>
      <c r="AC601" s="5"/>
      <c r="AH601" s="5"/>
      <c r="AI601" s="5"/>
    </row>
    <row r="602">
      <c r="E602" s="5"/>
      <c r="F602" s="5"/>
      <c r="G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T602" s="9"/>
      <c r="W602" s="5"/>
      <c r="AB602" s="5"/>
      <c r="AC602" s="5"/>
      <c r="AH602" s="5"/>
      <c r="AI602" s="5"/>
    </row>
    <row r="603">
      <c r="E603" s="5"/>
      <c r="F603" s="5"/>
      <c r="G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T603" s="9"/>
      <c r="W603" s="5"/>
      <c r="AB603" s="5"/>
      <c r="AC603" s="5"/>
      <c r="AH603" s="5"/>
      <c r="AI603" s="5"/>
    </row>
    <row r="604">
      <c r="E604" s="5"/>
      <c r="F604" s="5"/>
      <c r="G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T604" s="9"/>
      <c r="W604" s="5"/>
      <c r="AB604" s="5"/>
      <c r="AC604" s="5"/>
      <c r="AH604" s="5"/>
      <c r="AI604" s="5"/>
    </row>
    <row r="605">
      <c r="E605" s="5"/>
      <c r="F605" s="5"/>
      <c r="G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T605" s="9"/>
      <c r="W605" s="5"/>
      <c r="AB605" s="5"/>
      <c r="AC605" s="5"/>
      <c r="AH605" s="5"/>
      <c r="AI605" s="5"/>
    </row>
    <row r="606">
      <c r="E606" s="5"/>
      <c r="F606" s="5"/>
      <c r="G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T606" s="9"/>
      <c r="W606" s="5"/>
      <c r="AB606" s="5"/>
      <c r="AC606" s="5"/>
      <c r="AH606" s="5"/>
      <c r="AI606" s="5"/>
    </row>
    <row r="607">
      <c r="E607" s="5"/>
      <c r="F607" s="5"/>
      <c r="G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T607" s="9"/>
      <c r="W607" s="5"/>
      <c r="AB607" s="5"/>
      <c r="AC607" s="5"/>
      <c r="AH607" s="5"/>
      <c r="AI607" s="5"/>
    </row>
    <row r="608">
      <c r="E608" s="5"/>
      <c r="F608" s="5"/>
      <c r="G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T608" s="9"/>
      <c r="W608" s="5"/>
      <c r="AB608" s="5"/>
      <c r="AC608" s="5"/>
      <c r="AH608" s="5"/>
      <c r="AI608" s="5"/>
    </row>
    <row r="609">
      <c r="E609" s="5"/>
      <c r="F609" s="5"/>
      <c r="G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T609" s="9"/>
      <c r="W609" s="5"/>
      <c r="AB609" s="5"/>
      <c r="AC609" s="5"/>
      <c r="AH609" s="5"/>
      <c r="AI609" s="5"/>
    </row>
    <row r="610">
      <c r="E610" s="5"/>
      <c r="F610" s="5"/>
      <c r="G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T610" s="9"/>
      <c r="W610" s="5"/>
      <c r="AB610" s="5"/>
      <c r="AC610" s="5"/>
      <c r="AH610" s="5"/>
      <c r="AI610" s="5"/>
    </row>
    <row r="611">
      <c r="E611" s="5"/>
      <c r="F611" s="5"/>
      <c r="G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T611" s="9"/>
      <c r="W611" s="5"/>
      <c r="AB611" s="5"/>
      <c r="AC611" s="5"/>
      <c r="AH611" s="5"/>
      <c r="AI611" s="5"/>
    </row>
    <row r="612">
      <c r="E612" s="5"/>
      <c r="F612" s="5"/>
      <c r="G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T612" s="9"/>
      <c r="W612" s="5"/>
      <c r="AB612" s="5"/>
      <c r="AC612" s="5"/>
      <c r="AH612" s="5"/>
      <c r="AI612" s="5"/>
    </row>
    <row r="613">
      <c r="E613" s="5"/>
      <c r="F613" s="5"/>
      <c r="G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T613" s="9"/>
      <c r="W613" s="5"/>
      <c r="AB613" s="5"/>
      <c r="AC613" s="5"/>
      <c r="AH613" s="5"/>
      <c r="AI613" s="5"/>
    </row>
    <row r="614">
      <c r="E614" s="5"/>
      <c r="F614" s="5"/>
      <c r="G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T614" s="9"/>
      <c r="W614" s="5"/>
      <c r="AB614" s="5"/>
      <c r="AC614" s="5"/>
      <c r="AH614" s="5"/>
      <c r="AI614" s="5"/>
    </row>
    <row r="615">
      <c r="E615" s="5"/>
      <c r="F615" s="5"/>
      <c r="G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T615" s="9"/>
      <c r="W615" s="5"/>
      <c r="AB615" s="5"/>
      <c r="AC615" s="5"/>
      <c r="AH615" s="5"/>
      <c r="AI615" s="5"/>
    </row>
    <row r="616">
      <c r="E616" s="5"/>
      <c r="F616" s="5"/>
      <c r="G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T616" s="9"/>
      <c r="W616" s="5"/>
      <c r="AB616" s="5"/>
      <c r="AC616" s="5"/>
      <c r="AH616" s="5"/>
      <c r="AI616" s="5"/>
    </row>
    <row r="617">
      <c r="E617" s="5"/>
      <c r="F617" s="5"/>
      <c r="G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T617" s="9"/>
      <c r="W617" s="5"/>
      <c r="AB617" s="5"/>
      <c r="AC617" s="5"/>
      <c r="AH617" s="5"/>
      <c r="AI617" s="5"/>
    </row>
    <row r="618">
      <c r="E618" s="5"/>
      <c r="F618" s="5"/>
      <c r="G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T618" s="9"/>
      <c r="W618" s="5"/>
      <c r="AB618" s="5"/>
      <c r="AC618" s="5"/>
      <c r="AH618" s="5"/>
      <c r="AI618" s="5"/>
    </row>
    <row r="619">
      <c r="E619" s="5"/>
      <c r="F619" s="5"/>
      <c r="G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T619" s="9"/>
      <c r="W619" s="5"/>
      <c r="AB619" s="5"/>
      <c r="AC619" s="5"/>
      <c r="AH619" s="5"/>
      <c r="AI619" s="5"/>
    </row>
    <row r="620">
      <c r="E620" s="5"/>
      <c r="F620" s="5"/>
      <c r="G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T620" s="9"/>
      <c r="W620" s="5"/>
      <c r="AB620" s="5"/>
      <c r="AC620" s="5"/>
      <c r="AH620" s="5"/>
      <c r="AI620" s="5"/>
    </row>
    <row r="621">
      <c r="E621" s="5"/>
      <c r="F621" s="5"/>
      <c r="G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T621" s="9"/>
      <c r="W621" s="5"/>
      <c r="AB621" s="5"/>
      <c r="AC621" s="5"/>
      <c r="AH621" s="5"/>
      <c r="AI621" s="5"/>
    </row>
    <row r="622">
      <c r="E622" s="5"/>
      <c r="F622" s="5"/>
      <c r="G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T622" s="9"/>
      <c r="W622" s="5"/>
      <c r="AB622" s="5"/>
      <c r="AC622" s="5"/>
      <c r="AH622" s="5"/>
      <c r="AI622" s="5"/>
    </row>
    <row r="623">
      <c r="E623" s="5"/>
      <c r="F623" s="5"/>
      <c r="G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T623" s="9"/>
      <c r="W623" s="5"/>
      <c r="AB623" s="5"/>
      <c r="AC623" s="5"/>
      <c r="AH623" s="5"/>
      <c r="AI623" s="5"/>
    </row>
    <row r="624">
      <c r="E624" s="5"/>
      <c r="F624" s="5"/>
      <c r="G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T624" s="9"/>
      <c r="W624" s="5"/>
      <c r="AB624" s="5"/>
      <c r="AC624" s="5"/>
      <c r="AH624" s="5"/>
      <c r="AI624" s="5"/>
    </row>
    <row r="625">
      <c r="E625" s="5"/>
      <c r="F625" s="5"/>
      <c r="G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T625" s="9"/>
      <c r="W625" s="5"/>
      <c r="AB625" s="5"/>
      <c r="AC625" s="5"/>
      <c r="AH625" s="5"/>
      <c r="AI625" s="5"/>
    </row>
    <row r="626">
      <c r="E626" s="5"/>
      <c r="F626" s="5"/>
      <c r="G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T626" s="9"/>
      <c r="W626" s="5"/>
      <c r="AB626" s="5"/>
      <c r="AC626" s="5"/>
      <c r="AH626" s="5"/>
      <c r="AI626" s="5"/>
    </row>
    <row r="627">
      <c r="E627" s="5"/>
      <c r="F627" s="5"/>
      <c r="G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T627" s="9"/>
      <c r="W627" s="5"/>
      <c r="AB627" s="5"/>
      <c r="AC627" s="5"/>
      <c r="AH627" s="5"/>
      <c r="AI627" s="5"/>
    </row>
    <row r="628">
      <c r="E628" s="5"/>
      <c r="F628" s="5"/>
      <c r="G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T628" s="9"/>
      <c r="W628" s="5"/>
      <c r="AB628" s="5"/>
      <c r="AC628" s="5"/>
      <c r="AH628" s="5"/>
      <c r="AI628" s="5"/>
    </row>
    <row r="629">
      <c r="E629" s="5"/>
      <c r="F629" s="5"/>
      <c r="G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T629" s="9"/>
      <c r="W629" s="5"/>
      <c r="AB629" s="5"/>
      <c r="AC629" s="5"/>
      <c r="AH629" s="5"/>
      <c r="AI629" s="5"/>
    </row>
    <row r="630">
      <c r="E630" s="5"/>
      <c r="F630" s="5"/>
      <c r="G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T630" s="9"/>
      <c r="W630" s="5"/>
      <c r="AB630" s="5"/>
      <c r="AC630" s="5"/>
      <c r="AH630" s="5"/>
      <c r="AI630" s="5"/>
    </row>
    <row r="631">
      <c r="E631" s="5"/>
      <c r="F631" s="5"/>
      <c r="G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T631" s="9"/>
      <c r="W631" s="5"/>
      <c r="AB631" s="5"/>
      <c r="AC631" s="5"/>
      <c r="AH631" s="5"/>
      <c r="AI631" s="5"/>
    </row>
    <row r="632">
      <c r="E632" s="5"/>
      <c r="F632" s="5"/>
      <c r="G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T632" s="9"/>
      <c r="W632" s="5"/>
      <c r="AB632" s="5"/>
      <c r="AC632" s="5"/>
      <c r="AH632" s="5"/>
      <c r="AI632" s="5"/>
    </row>
    <row r="633">
      <c r="E633" s="5"/>
      <c r="F633" s="5"/>
      <c r="G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T633" s="9"/>
      <c r="W633" s="5"/>
      <c r="AB633" s="5"/>
      <c r="AC633" s="5"/>
      <c r="AH633" s="5"/>
      <c r="AI633" s="5"/>
    </row>
    <row r="634">
      <c r="E634" s="5"/>
      <c r="F634" s="5"/>
      <c r="G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T634" s="9"/>
      <c r="W634" s="5"/>
      <c r="AB634" s="5"/>
      <c r="AC634" s="5"/>
      <c r="AH634" s="5"/>
      <c r="AI634" s="5"/>
    </row>
    <row r="635">
      <c r="E635" s="5"/>
      <c r="F635" s="5"/>
      <c r="G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T635" s="9"/>
      <c r="W635" s="5"/>
      <c r="AB635" s="5"/>
      <c r="AC635" s="5"/>
      <c r="AH635" s="5"/>
      <c r="AI635" s="5"/>
    </row>
    <row r="636">
      <c r="E636" s="5"/>
      <c r="F636" s="5"/>
      <c r="G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T636" s="9"/>
      <c r="W636" s="5"/>
      <c r="AB636" s="5"/>
      <c r="AC636" s="5"/>
      <c r="AH636" s="5"/>
      <c r="AI636" s="5"/>
    </row>
    <row r="637">
      <c r="E637" s="5"/>
      <c r="F637" s="5"/>
      <c r="G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T637" s="9"/>
      <c r="W637" s="5"/>
      <c r="AB637" s="5"/>
      <c r="AC637" s="5"/>
      <c r="AH637" s="5"/>
      <c r="AI637" s="5"/>
    </row>
    <row r="638">
      <c r="E638" s="5"/>
      <c r="F638" s="5"/>
      <c r="G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T638" s="9"/>
      <c r="W638" s="5"/>
      <c r="AB638" s="5"/>
      <c r="AC638" s="5"/>
      <c r="AH638" s="5"/>
      <c r="AI638" s="5"/>
    </row>
    <row r="639">
      <c r="E639" s="5"/>
      <c r="F639" s="5"/>
      <c r="G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T639" s="9"/>
      <c r="W639" s="5"/>
      <c r="AB639" s="5"/>
      <c r="AC639" s="5"/>
      <c r="AH639" s="5"/>
      <c r="AI639" s="5"/>
    </row>
    <row r="640">
      <c r="E640" s="5"/>
      <c r="F640" s="5"/>
      <c r="G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T640" s="9"/>
      <c r="W640" s="5"/>
      <c r="AB640" s="5"/>
      <c r="AC640" s="5"/>
      <c r="AH640" s="5"/>
      <c r="AI640" s="5"/>
    </row>
    <row r="641">
      <c r="E641" s="5"/>
      <c r="F641" s="5"/>
      <c r="G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T641" s="9"/>
      <c r="W641" s="5"/>
      <c r="AB641" s="5"/>
      <c r="AC641" s="5"/>
      <c r="AH641" s="5"/>
      <c r="AI641" s="5"/>
    </row>
    <row r="642">
      <c r="E642" s="5"/>
      <c r="F642" s="5"/>
      <c r="G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T642" s="9"/>
      <c r="W642" s="5"/>
      <c r="AB642" s="5"/>
      <c r="AC642" s="5"/>
      <c r="AH642" s="5"/>
      <c r="AI642" s="5"/>
    </row>
    <row r="643">
      <c r="E643" s="5"/>
      <c r="F643" s="5"/>
      <c r="G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T643" s="9"/>
      <c r="W643" s="5"/>
      <c r="AB643" s="5"/>
      <c r="AC643" s="5"/>
      <c r="AH643" s="5"/>
      <c r="AI643" s="5"/>
    </row>
    <row r="644">
      <c r="E644" s="5"/>
      <c r="F644" s="5"/>
      <c r="G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T644" s="9"/>
      <c r="W644" s="5"/>
      <c r="AB644" s="5"/>
      <c r="AC644" s="5"/>
      <c r="AH644" s="5"/>
      <c r="AI644" s="5"/>
    </row>
    <row r="645">
      <c r="E645" s="5"/>
      <c r="F645" s="5"/>
      <c r="G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T645" s="9"/>
      <c r="W645" s="5"/>
      <c r="AB645" s="5"/>
      <c r="AC645" s="5"/>
      <c r="AH645" s="5"/>
      <c r="AI645" s="5"/>
    </row>
    <row r="646">
      <c r="E646" s="5"/>
      <c r="F646" s="5"/>
      <c r="G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T646" s="9"/>
      <c r="W646" s="5"/>
      <c r="AB646" s="5"/>
      <c r="AC646" s="5"/>
      <c r="AH646" s="5"/>
      <c r="AI646" s="5"/>
    </row>
    <row r="647">
      <c r="E647" s="5"/>
      <c r="F647" s="5"/>
      <c r="G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T647" s="9"/>
      <c r="W647" s="5"/>
      <c r="AB647" s="5"/>
      <c r="AC647" s="5"/>
      <c r="AH647" s="5"/>
      <c r="AI647" s="5"/>
    </row>
    <row r="648">
      <c r="E648" s="5"/>
      <c r="F648" s="5"/>
      <c r="G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T648" s="9"/>
      <c r="W648" s="5"/>
      <c r="AB648" s="5"/>
      <c r="AC648" s="5"/>
      <c r="AH648" s="5"/>
      <c r="AI648" s="5"/>
    </row>
    <row r="649">
      <c r="E649" s="5"/>
      <c r="F649" s="5"/>
      <c r="G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T649" s="9"/>
      <c r="W649" s="5"/>
      <c r="AB649" s="5"/>
      <c r="AC649" s="5"/>
      <c r="AH649" s="5"/>
      <c r="AI649" s="5"/>
    </row>
    <row r="650">
      <c r="E650" s="5"/>
      <c r="F650" s="5"/>
      <c r="G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T650" s="9"/>
      <c r="W650" s="5"/>
      <c r="AB650" s="5"/>
      <c r="AC650" s="5"/>
      <c r="AH650" s="5"/>
      <c r="AI650" s="5"/>
    </row>
    <row r="651">
      <c r="E651" s="5"/>
      <c r="F651" s="5"/>
      <c r="G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T651" s="9"/>
      <c r="W651" s="5"/>
      <c r="AB651" s="5"/>
      <c r="AC651" s="5"/>
      <c r="AH651" s="5"/>
      <c r="AI651" s="5"/>
    </row>
    <row r="652">
      <c r="E652" s="5"/>
      <c r="F652" s="5"/>
      <c r="G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T652" s="9"/>
      <c r="W652" s="5"/>
      <c r="AB652" s="5"/>
      <c r="AC652" s="5"/>
      <c r="AH652" s="5"/>
      <c r="AI652" s="5"/>
    </row>
    <row r="653">
      <c r="E653" s="5"/>
      <c r="F653" s="5"/>
      <c r="G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T653" s="9"/>
      <c r="W653" s="5"/>
      <c r="AB653" s="5"/>
      <c r="AC653" s="5"/>
      <c r="AH653" s="5"/>
      <c r="AI653" s="5"/>
    </row>
    <row r="654">
      <c r="E654" s="5"/>
      <c r="F654" s="5"/>
      <c r="G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T654" s="9"/>
      <c r="W654" s="5"/>
      <c r="AB654" s="5"/>
      <c r="AC654" s="5"/>
      <c r="AH654" s="5"/>
      <c r="AI654" s="5"/>
    </row>
    <row r="655">
      <c r="E655" s="5"/>
      <c r="F655" s="5"/>
      <c r="G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T655" s="9"/>
      <c r="W655" s="5"/>
      <c r="AB655" s="5"/>
      <c r="AC655" s="5"/>
      <c r="AH655" s="5"/>
      <c r="AI655" s="5"/>
    </row>
    <row r="656">
      <c r="E656" s="5"/>
      <c r="F656" s="5"/>
      <c r="G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T656" s="9"/>
      <c r="W656" s="5"/>
      <c r="AB656" s="5"/>
      <c r="AC656" s="5"/>
      <c r="AH656" s="5"/>
      <c r="AI656" s="5"/>
    </row>
    <row r="657">
      <c r="E657" s="5"/>
      <c r="F657" s="5"/>
      <c r="G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T657" s="9"/>
      <c r="W657" s="5"/>
      <c r="AB657" s="5"/>
      <c r="AC657" s="5"/>
      <c r="AH657" s="5"/>
      <c r="AI657" s="5"/>
    </row>
    <row r="658">
      <c r="E658" s="5"/>
      <c r="F658" s="5"/>
      <c r="G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T658" s="9"/>
      <c r="W658" s="5"/>
      <c r="AB658" s="5"/>
      <c r="AC658" s="5"/>
      <c r="AH658" s="5"/>
      <c r="AI658" s="5"/>
    </row>
    <row r="659">
      <c r="E659" s="5"/>
      <c r="F659" s="5"/>
      <c r="G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T659" s="9"/>
      <c r="W659" s="5"/>
      <c r="AB659" s="5"/>
      <c r="AC659" s="5"/>
      <c r="AH659" s="5"/>
      <c r="AI659" s="5"/>
    </row>
    <row r="660">
      <c r="E660" s="5"/>
      <c r="F660" s="5"/>
      <c r="G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T660" s="9"/>
      <c r="W660" s="5"/>
      <c r="AB660" s="5"/>
      <c r="AC660" s="5"/>
      <c r="AH660" s="5"/>
      <c r="AI660" s="5"/>
    </row>
    <row r="661">
      <c r="E661" s="5"/>
      <c r="F661" s="5"/>
      <c r="G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T661" s="9"/>
      <c r="W661" s="5"/>
      <c r="AB661" s="5"/>
      <c r="AC661" s="5"/>
      <c r="AH661" s="5"/>
      <c r="AI661" s="5"/>
    </row>
    <row r="662">
      <c r="E662" s="5"/>
      <c r="F662" s="5"/>
      <c r="G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T662" s="9"/>
      <c r="W662" s="5"/>
      <c r="AB662" s="5"/>
      <c r="AC662" s="5"/>
      <c r="AH662" s="5"/>
      <c r="AI662" s="5"/>
    </row>
    <row r="663">
      <c r="E663" s="5"/>
      <c r="F663" s="5"/>
      <c r="G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T663" s="9"/>
      <c r="W663" s="5"/>
      <c r="AB663" s="5"/>
      <c r="AC663" s="5"/>
      <c r="AH663" s="5"/>
      <c r="AI663" s="5"/>
    </row>
    <row r="664">
      <c r="E664" s="5"/>
      <c r="F664" s="5"/>
      <c r="G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T664" s="9"/>
      <c r="W664" s="5"/>
      <c r="AB664" s="5"/>
      <c r="AC664" s="5"/>
      <c r="AH664" s="5"/>
      <c r="AI664" s="5"/>
    </row>
    <row r="665">
      <c r="E665" s="5"/>
      <c r="F665" s="5"/>
      <c r="G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T665" s="9"/>
      <c r="W665" s="5"/>
      <c r="AB665" s="5"/>
      <c r="AC665" s="5"/>
      <c r="AH665" s="5"/>
      <c r="AI665" s="5"/>
    </row>
    <row r="666">
      <c r="E666" s="5"/>
      <c r="F666" s="5"/>
      <c r="G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T666" s="9"/>
      <c r="W666" s="5"/>
      <c r="AB666" s="5"/>
      <c r="AC666" s="5"/>
      <c r="AH666" s="5"/>
      <c r="AI666" s="5"/>
    </row>
    <row r="667">
      <c r="E667" s="5"/>
      <c r="F667" s="5"/>
      <c r="G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T667" s="9"/>
      <c r="W667" s="5"/>
      <c r="AB667" s="5"/>
      <c r="AC667" s="5"/>
      <c r="AH667" s="5"/>
      <c r="AI667" s="5"/>
    </row>
    <row r="668">
      <c r="E668" s="5"/>
      <c r="F668" s="5"/>
      <c r="G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T668" s="9"/>
      <c r="W668" s="5"/>
      <c r="AB668" s="5"/>
      <c r="AC668" s="5"/>
      <c r="AH668" s="5"/>
      <c r="AI668" s="5"/>
    </row>
    <row r="669">
      <c r="E669" s="5"/>
      <c r="F669" s="5"/>
      <c r="G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T669" s="9"/>
      <c r="W669" s="5"/>
      <c r="AB669" s="5"/>
      <c r="AC669" s="5"/>
      <c r="AH669" s="5"/>
      <c r="AI669" s="5"/>
    </row>
    <row r="670">
      <c r="E670" s="5"/>
      <c r="F670" s="5"/>
      <c r="G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T670" s="9"/>
      <c r="W670" s="5"/>
      <c r="AB670" s="5"/>
      <c r="AC670" s="5"/>
      <c r="AH670" s="5"/>
      <c r="AI670" s="5"/>
    </row>
    <row r="671">
      <c r="E671" s="5"/>
      <c r="F671" s="5"/>
      <c r="G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T671" s="9"/>
      <c r="W671" s="5"/>
      <c r="AB671" s="5"/>
      <c r="AC671" s="5"/>
      <c r="AH671" s="5"/>
      <c r="AI671" s="5"/>
    </row>
    <row r="672">
      <c r="E672" s="5"/>
      <c r="F672" s="5"/>
      <c r="G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T672" s="9"/>
      <c r="W672" s="5"/>
      <c r="AB672" s="5"/>
      <c r="AC672" s="5"/>
      <c r="AH672" s="5"/>
      <c r="AI672" s="5"/>
    </row>
    <row r="673">
      <c r="E673" s="5"/>
      <c r="F673" s="5"/>
      <c r="G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T673" s="9"/>
      <c r="W673" s="5"/>
      <c r="AB673" s="5"/>
      <c r="AC673" s="5"/>
      <c r="AH673" s="5"/>
      <c r="AI673" s="5"/>
    </row>
    <row r="674">
      <c r="E674" s="5"/>
      <c r="F674" s="5"/>
      <c r="G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T674" s="9"/>
      <c r="W674" s="5"/>
      <c r="AB674" s="5"/>
      <c r="AC674" s="5"/>
      <c r="AH674" s="5"/>
      <c r="AI674" s="5"/>
    </row>
    <row r="675">
      <c r="E675" s="5"/>
      <c r="F675" s="5"/>
      <c r="G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T675" s="9"/>
      <c r="W675" s="5"/>
      <c r="AB675" s="5"/>
      <c r="AC675" s="5"/>
      <c r="AH675" s="5"/>
      <c r="AI675" s="5"/>
    </row>
    <row r="676">
      <c r="E676" s="5"/>
      <c r="F676" s="5"/>
      <c r="G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T676" s="9"/>
      <c r="W676" s="5"/>
      <c r="AB676" s="5"/>
      <c r="AC676" s="5"/>
      <c r="AH676" s="5"/>
      <c r="AI676" s="5"/>
    </row>
    <row r="677">
      <c r="E677" s="5"/>
      <c r="F677" s="5"/>
      <c r="G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T677" s="9"/>
      <c r="W677" s="5"/>
      <c r="AB677" s="5"/>
      <c r="AC677" s="5"/>
      <c r="AH677" s="5"/>
      <c r="AI677" s="5"/>
    </row>
    <row r="678">
      <c r="E678" s="5"/>
      <c r="F678" s="5"/>
      <c r="G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T678" s="9"/>
      <c r="W678" s="5"/>
      <c r="AB678" s="5"/>
      <c r="AC678" s="5"/>
      <c r="AH678" s="5"/>
      <c r="AI678" s="5"/>
    </row>
    <row r="679">
      <c r="E679" s="5"/>
      <c r="F679" s="5"/>
      <c r="G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T679" s="9"/>
      <c r="W679" s="5"/>
      <c r="AB679" s="5"/>
      <c r="AC679" s="5"/>
      <c r="AH679" s="5"/>
      <c r="AI679" s="5"/>
    </row>
    <row r="680">
      <c r="E680" s="5"/>
      <c r="F680" s="5"/>
      <c r="G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T680" s="9"/>
      <c r="W680" s="5"/>
      <c r="AB680" s="5"/>
      <c r="AC680" s="5"/>
      <c r="AH680" s="5"/>
      <c r="AI680" s="5"/>
    </row>
    <row r="681">
      <c r="E681" s="5"/>
      <c r="F681" s="5"/>
      <c r="G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T681" s="9"/>
      <c r="W681" s="5"/>
      <c r="AB681" s="5"/>
      <c r="AC681" s="5"/>
      <c r="AH681" s="5"/>
      <c r="AI681" s="5"/>
    </row>
    <row r="682">
      <c r="E682" s="5"/>
      <c r="F682" s="5"/>
      <c r="G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T682" s="9"/>
      <c r="W682" s="5"/>
      <c r="AB682" s="5"/>
      <c r="AC682" s="5"/>
      <c r="AH682" s="5"/>
      <c r="AI682" s="5"/>
    </row>
    <row r="683">
      <c r="E683" s="5"/>
      <c r="F683" s="5"/>
      <c r="G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T683" s="9"/>
      <c r="W683" s="5"/>
      <c r="AB683" s="5"/>
      <c r="AC683" s="5"/>
      <c r="AH683" s="5"/>
      <c r="AI683" s="5"/>
    </row>
    <row r="684">
      <c r="E684" s="5"/>
      <c r="F684" s="5"/>
      <c r="G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T684" s="9"/>
      <c r="W684" s="5"/>
      <c r="AB684" s="5"/>
      <c r="AC684" s="5"/>
      <c r="AH684" s="5"/>
      <c r="AI684" s="5"/>
    </row>
    <row r="685">
      <c r="E685" s="5"/>
      <c r="F685" s="5"/>
      <c r="G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T685" s="9"/>
      <c r="W685" s="5"/>
      <c r="AB685" s="5"/>
      <c r="AC685" s="5"/>
      <c r="AH685" s="5"/>
      <c r="AI685" s="5"/>
    </row>
    <row r="686">
      <c r="E686" s="5"/>
      <c r="F686" s="5"/>
      <c r="G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T686" s="9"/>
      <c r="W686" s="5"/>
      <c r="AB686" s="5"/>
      <c r="AC686" s="5"/>
      <c r="AH686" s="5"/>
      <c r="AI686" s="5"/>
    </row>
    <row r="687">
      <c r="E687" s="5"/>
      <c r="F687" s="5"/>
      <c r="G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T687" s="9"/>
      <c r="W687" s="5"/>
      <c r="AB687" s="5"/>
      <c r="AC687" s="5"/>
      <c r="AH687" s="5"/>
      <c r="AI687" s="5"/>
    </row>
    <row r="688">
      <c r="E688" s="5"/>
      <c r="F688" s="5"/>
      <c r="G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T688" s="9"/>
      <c r="W688" s="5"/>
      <c r="AB688" s="5"/>
      <c r="AC688" s="5"/>
      <c r="AH688" s="5"/>
      <c r="AI688" s="5"/>
    </row>
    <row r="689">
      <c r="E689" s="5"/>
      <c r="F689" s="5"/>
      <c r="G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T689" s="9"/>
      <c r="W689" s="5"/>
      <c r="AB689" s="5"/>
      <c r="AC689" s="5"/>
      <c r="AH689" s="5"/>
      <c r="AI689" s="5"/>
    </row>
    <row r="690">
      <c r="E690" s="5"/>
      <c r="F690" s="5"/>
      <c r="G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T690" s="9"/>
      <c r="W690" s="5"/>
      <c r="AB690" s="5"/>
      <c r="AC690" s="5"/>
      <c r="AH690" s="5"/>
      <c r="AI690" s="5"/>
    </row>
    <row r="691">
      <c r="E691" s="5"/>
      <c r="F691" s="5"/>
      <c r="G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T691" s="9"/>
      <c r="W691" s="5"/>
      <c r="AB691" s="5"/>
      <c r="AC691" s="5"/>
      <c r="AH691" s="5"/>
      <c r="AI691" s="5"/>
    </row>
    <row r="692">
      <c r="E692" s="5"/>
      <c r="F692" s="5"/>
      <c r="G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T692" s="9"/>
      <c r="W692" s="5"/>
      <c r="AB692" s="5"/>
      <c r="AC692" s="5"/>
      <c r="AH692" s="5"/>
      <c r="AI692" s="5"/>
    </row>
    <row r="693">
      <c r="E693" s="5"/>
      <c r="F693" s="5"/>
      <c r="G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T693" s="9"/>
      <c r="W693" s="5"/>
      <c r="AB693" s="5"/>
      <c r="AC693" s="5"/>
      <c r="AH693" s="5"/>
      <c r="AI693" s="5"/>
    </row>
    <row r="694">
      <c r="E694" s="5"/>
      <c r="F694" s="5"/>
      <c r="G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T694" s="9"/>
      <c r="W694" s="5"/>
      <c r="AB694" s="5"/>
      <c r="AC694" s="5"/>
      <c r="AH694" s="5"/>
      <c r="AI694" s="5"/>
    </row>
    <row r="695">
      <c r="E695" s="5"/>
      <c r="F695" s="5"/>
      <c r="G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T695" s="9"/>
      <c r="W695" s="5"/>
      <c r="AB695" s="5"/>
      <c r="AC695" s="5"/>
      <c r="AH695" s="5"/>
      <c r="AI695" s="5"/>
    </row>
    <row r="696">
      <c r="E696" s="5"/>
      <c r="F696" s="5"/>
      <c r="G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T696" s="9"/>
      <c r="W696" s="5"/>
      <c r="AB696" s="5"/>
      <c r="AC696" s="5"/>
      <c r="AH696" s="5"/>
      <c r="AI696" s="5"/>
    </row>
    <row r="697">
      <c r="E697" s="5"/>
      <c r="F697" s="5"/>
      <c r="G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T697" s="9"/>
      <c r="W697" s="5"/>
      <c r="AB697" s="5"/>
      <c r="AC697" s="5"/>
      <c r="AH697" s="5"/>
      <c r="AI697" s="5"/>
    </row>
    <row r="698">
      <c r="E698" s="5"/>
      <c r="F698" s="5"/>
      <c r="G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T698" s="9"/>
      <c r="W698" s="5"/>
      <c r="AB698" s="5"/>
      <c r="AC698" s="5"/>
      <c r="AH698" s="5"/>
      <c r="AI698" s="5"/>
    </row>
    <row r="699">
      <c r="E699" s="5"/>
      <c r="F699" s="5"/>
      <c r="G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T699" s="9"/>
      <c r="W699" s="5"/>
      <c r="AB699" s="5"/>
      <c r="AC699" s="5"/>
      <c r="AH699" s="5"/>
      <c r="AI699" s="5"/>
    </row>
    <row r="700">
      <c r="E700" s="5"/>
      <c r="F700" s="5"/>
      <c r="G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T700" s="9"/>
      <c r="W700" s="5"/>
      <c r="AB700" s="5"/>
      <c r="AC700" s="5"/>
      <c r="AH700" s="5"/>
      <c r="AI700" s="5"/>
    </row>
    <row r="701">
      <c r="E701" s="5"/>
      <c r="F701" s="5"/>
      <c r="G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T701" s="9"/>
      <c r="W701" s="5"/>
      <c r="AB701" s="5"/>
      <c r="AC701" s="5"/>
      <c r="AH701" s="5"/>
      <c r="AI701" s="5"/>
    </row>
    <row r="702">
      <c r="E702" s="5"/>
      <c r="F702" s="5"/>
      <c r="G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T702" s="9"/>
      <c r="W702" s="5"/>
      <c r="AB702" s="5"/>
      <c r="AC702" s="5"/>
      <c r="AH702" s="5"/>
      <c r="AI702" s="5"/>
    </row>
    <row r="703">
      <c r="E703" s="5"/>
      <c r="F703" s="5"/>
      <c r="G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T703" s="9"/>
      <c r="W703" s="5"/>
      <c r="AB703" s="5"/>
      <c r="AC703" s="5"/>
      <c r="AH703" s="5"/>
      <c r="AI703" s="5"/>
    </row>
    <row r="704">
      <c r="E704" s="5"/>
      <c r="F704" s="5"/>
      <c r="G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T704" s="9"/>
      <c r="W704" s="5"/>
      <c r="AB704" s="5"/>
      <c r="AC704" s="5"/>
      <c r="AH704" s="5"/>
      <c r="AI704" s="5"/>
    </row>
    <row r="705">
      <c r="E705" s="5"/>
      <c r="F705" s="5"/>
      <c r="G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T705" s="9"/>
      <c r="W705" s="5"/>
      <c r="AB705" s="5"/>
      <c r="AC705" s="5"/>
      <c r="AH705" s="5"/>
      <c r="AI705" s="5"/>
    </row>
    <row r="706">
      <c r="E706" s="5"/>
      <c r="F706" s="5"/>
      <c r="G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T706" s="9"/>
      <c r="W706" s="5"/>
      <c r="AB706" s="5"/>
      <c r="AC706" s="5"/>
      <c r="AH706" s="5"/>
      <c r="AI706" s="5"/>
    </row>
    <row r="707">
      <c r="E707" s="5"/>
      <c r="F707" s="5"/>
      <c r="G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T707" s="9"/>
      <c r="W707" s="5"/>
      <c r="AB707" s="5"/>
      <c r="AC707" s="5"/>
      <c r="AH707" s="5"/>
      <c r="AI707" s="5"/>
    </row>
    <row r="708">
      <c r="E708" s="5"/>
      <c r="F708" s="5"/>
      <c r="G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T708" s="9"/>
      <c r="W708" s="5"/>
      <c r="AB708" s="5"/>
      <c r="AC708" s="5"/>
      <c r="AH708" s="5"/>
      <c r="AI708" s="5"/>
    </row>
    <row r="709">
      <c r="E709" s="5"/>
      <c r="F709" s="5"/>
      <c r="G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T709" s="9"/>
      <c r="W709" s="5"/>
      <c r="AB709" s="5"/>
      <c r="AC709" s="5"/>
      <c r="AH709" s="5"/>
      <c r="AI709" s="5"/>
    </row>
    <row r="710">
      <c r="E710" s="5"/>
      <c r="F710" s="5"/>
      <c r="G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T710" s="9"/>
      <c r="W710" s="5"/>
      <c r="AB710" s="5"/>
      <c r="AC710" s="5"/>
      <c r="AH710" s="5"/>
      <c r="AI710" s="5"/>
    </row>
    <row r="711">
      <c r="E711" s="5"/>
      <c r="F711" s="5"/>
      <c r="G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T711" s="9"/>
      <c r="W711" s="5"/>
      <c r="AB711" s="5"/>
      <c r="AC711" s="5"/>
      <c r="AH711" s="5"/>
      <c r="AI711" s="5"/>
    </row>
    <row r="712">
      <c r="E712" s="5"/>
      <c r="F712" s="5"/>
      <c r="G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T712" s="9"/>
      <c r="W712" s="5"/>
      <c r="AB712" s="5"/>
      <c r="AC712" s="5"/>
      <c r="AH712" s="5"/>
      <c r="AI712" s="5"/>
    </row>
    <row r="713">
      <c r="E713" s="5"/>
      <c r="F713" s="5"/>
      <c r="G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T713" s="9"/>
      <c r="W713" s="5"/>
      <c r="AB713" s="5"/>
      <c r="AC713" s="5"/>
      <c r="AH713" s="5"/>
      <c r="AI713" s="5"/>
    </row>
    <row r="714">
      <c r="E714" s="5"/>
      <c r="F714" s="5"/>
      <c r="G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T714" s="9"/>
      <c r="W714" s="5"/>
      <c r="AB714" s="5"/>
      <c r="AC714" s="5"/>
      <c r="AH714" s="5"/>
      <c r="AI714" s="5"/>
    </row>
    <row r="715">
      <c r="E715" s="5"/>
      <c r="F715" s="5"/>
      <c r="G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T715" s="9"/>
      <c r="W715" s="5"/>
      <c r="AB715" s="5"/>
      <c r="AC715" s="5"/>
      <c r="AH715" s="5"/>
      <c r="AI715" s="5"/>
    </row>
    <row r="716">
      <c r="E716" s="5"/>
      <c r="F716" s="5"/>
      <c r="G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T716" s="9"/>
      <c r="W716" s="5"/>
      <c r="AB716" s="5"/>
      <c r="AC716" s="5"/>
      <c r="AH716" s="5"/>
      <c r="AI716" s="5"/>
    </row>
    <row r="717">
      <c r="E717" s="5"/>
      <c r="F717" s="5"/>
      <c r="G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T717" s="9"/>
      <c r="W717" s="5"/>
      <c r="AB717" s="5"/>
      <c r="AC717" s="5"/>
      <c r="AH717" s="5"/>
      <c r="AI717" s="5"/>
    </row>
    <row r="718">
      <c r="E718" s="5"/>
      <c r="F718" s="5"/>
      <c r="G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T718" s="9"/>
      <c r="W718" s="5"/>
      <c r="AB718" s="5"/>
      <c r="AC718" s="5"/>
      <c r="AH718" s="5"/>
      <c r="AI718" s="5"/>
    </row>
    <row r="719">
      <c r="E719" s="5"/>
      <c r="F719" s="5"/>
      <c r="G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T719" s="9"/>
      <c r="W719" s="5"/>
      <c r="AB719" s="5"/>
      <c r="AC719" s="5"/>
      <c r="AH719" s="5"/>
      <c r="AI719" s="5"/>
    </row>
    <row r="720">
      <c r="E720" s="5"/>
      <c r="F720" s="5"/>
      <c r="G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T720" s="9"/>
      <c r="W720" s="5"/>
      <c r="AB720" s="5"/>
      <c r="AC720" s="5"/>
      <c r="AH720" s="5"/>
      <c r="AI720" s="5"/>
    </row>
    <row r="721">
      <c r="E721" s="5"/>
      <c r="F721" s="5"/>
      <c r="G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T721" s="9"/>
      <c r="W721" s="5"/>
      <c r="AB721" s="5"/>
      <c r="AC721" s="5"/>
      <c r="AH721" s="5"/>
      <c r="AI721" s="5"/>
    </row>
    <row r="722">
      <c r="E722" s="5"/>
      <c r="F722" s="5"/>
      <c r="G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T722" s="9"/>
      <c r="W722" s="5"/>
      <c r="AB722" s="5"/>
      <c r="AC722" s="5"/>
      <c r="AH722" s="5"/>
      <c r="AI722" s="5"/>
    </row>
    <row r="723">
      <c r="E723" s="5"/>
      <c r="F723" s="5"/>
      <c r="G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T723" s="9"/>
      <c r="W723" s="5"/>
      <c r="AB723" s="5"/>
      <c r="AC723" s="5"/>
      <c r="AH723" s="5"/>
      <c r="AI723" s="5"/>
    </row>
    <row r="724">
      <c r="E724" s="5"/>
      <c r="F724" s="5"/>
      <c r="G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T724" s="9"/>
      <c r="W724" s="5"/>
      <c r="AB724" s="5"/>
      <c r="AC724" s="5"/>
      <c r="AH724" s="5"/>
      <c r="AI724" s="5"/>
    </row>
    <row r="725">
      <c r="E725" s="5"/>
      <c r="F725" s="5"/>
      <c r="G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T725" s="9"/>
      <c r="W725" s="5"/>
      <c r="AB725" s="5"/>
      <c r="AC725" s="5"/>
      <c r="AH725" s="5"/>
      <c r="AI725" s="5"/>
    </row>
    <row r="726">
      <c r="E726" s="5"/>
      <c r="F726" s="5"/>
      <c r="G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T726" s="9"/>
      <c r="W726" s="5"/>
      <c r="AB726" s="5"/>
      <c r="AC726" s="5"/>
      <c r="AH726" s="5"/>
      <c r="AI726" s="5"/>
    </row>
    <row r="727">
      <c r="E727" s="5"/>
      <c r="F727" s="5"/>
      <c r="G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T727" s="9"/>
      <c r="W727" s="5"/>
      <c r="AB727" s="5"/>
      <c r="AC727" s="5"/>
      <c r="AH727" s="5"/>
      <c r="AI727" s="5"/>
    </row>
    <row r="728">
      <c r="E728" s="5"/>
      <c r="F728" s="5"/>
      <c r="G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T728" s="9"/>
      <c r="W728" s="5"/>
      <c r="AB728" s="5"/>
      <c r="AC728" s="5"/>
      <c r="AH728" s="5"/>
      <c r="AI728" s="5"/>
    </row>
    <row r="729">
      <c r="E729" s="5"/>
      <c r="F729" s="5"/>
      <c r="G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T729" s="9"/>
      <c r="W729" s="5"/>
      <c r="AB729" s="5"/>
      <c r="AC729" s="5"/>
      <c r="AH729" s="5"/>
      <c r="AI729" s="5"/>
    </row>
    <row r="730">
      <c r="E730" s="5"/>
      <c r="F730" s="5"/>
      <c r="G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T730" s="9"/>
      <c r="W730" s="5"/>
      <c r="AB730" s="5"/>
      <c r="AC730" s="5"/>
      <c r="AH730" s="5"/>
      <c r="AI730" s="5"/>
    </row>
    <row r="731">
      <c r="E731" s="5"/>
      <c r="F731" s="5"/>
      <c r="G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T731" s="9"/>
      <c r="W731" s="5"/>
      <c r="AB731" s="5"/>
      <c r="AC731" s="5"/>
      <c r="AH731" s="5"/>
      <c r="AI731" s="5"/>
    </row>
    <row r="732">
      <c r="E732" s="5"/>
      <c r="F732" s="5"/>
      <c r="G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T732" s="9"/>
      <c r="W732" s="5"/>
      <c r="AB732" s="5"/>
      <c r="AC732" s="5"/>
      <c r="AH732" s="5"/>
      <c r="AI732" s="5"/>
    </row>
    <row r="733">
      <c r="E733" s="5"/>
      <c r="F733" s="5"/>
      <c r="G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T733" s="9"/>
      <c r="W733" s="5"/>
      <c r="AB733" s="5"/>
      <c r="AC733" s="5"/>
      <c r="AH733" s="5"/>
      <c r="AI733" s="5"/>
    </row>
    <row r="734">
      <c r="E734" s="5"/>
      <c r="F734" s="5"/>
      <c r="G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T734" s="9"/>
      <c r="W734" s="5"/>
      <c r="AB734" s="5"/>
      <c r="AC734" s="5"/>
      <c r="AH734" s="5"/>
      <c r="AI734" s="5"/>
    </row>
    <row r="735">
      <c r="E735" s="5"/>
      <c r="F735" s="5"/>
      <c r="G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T735" s="9"/>
      <c r="W735" s="5"/>
      <c r="AB735" s="5"/>
      <c r="AC735" s="5"/>
      <c r="AH735" s="5"/>
      <c r="AI735" s="5"/>
    </row>
    <row r="736">
      <c r="E736" s="5"/>
      <c r="F736" s="5"/>
      <c r="G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T736" s="9"/>
      <c r="W736" s="5"/>
      <c r="AB736" s="5"/>
      <c r="AC736" s="5"/>
      <c r="AH736" s="5"/>
      <c r="AI736" s="5"/>
    </row>
    <row r="737">
      <c r="E737" s="5"/>
      <c r="F737" s="5"/>
      <c r="G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T737" s="9"/>
      <c r="W737" s="5"/>
      <c r="AB737" s="5"/>
      <c r="AC737" s="5"/>
      <c r="AH737" s="5"/>
      <c r="AI737" s="5"/>
    </row>
    <row r="738">
      <c r="E738" s="5"/>
      <c r="F738" s="5"/>
      <c r="G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T738" s="9"/>
      <c r="W738" s="5"/>
      <c r="AB738" s="5"/>
      <c r="AC738" s="5"/>
      <c r="AH738" s="5"/>
      <c r="AI738" s="5"/>
    </row>
    <row r="739">
      <c r="E739" s="5"/>
      <c r="F739" s="5"/>
      <c r="G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T739" s="9"/>
      <c r="W739" s="5"/>
      <c r="AB739" s="5"/>
      <c r="AC739" s="5"/>
      <c r="AH739" s="5"/>
      <c r="AI739" s="5"/>
    </row>
    <row r="740">
      <c r="E740" s="5"/>
      <c r="F740" s="5"/>
      <c r="G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T740" s="9"/>
      <c r="W740" s="5"/>
      <c r="AB740" s="5"/>
      <c r="AC740" s="5"/>
      <c r="AH740" s="5"/>
      <c r="AI740" s="5"/>
    </row>
    <row r="741">
      <c r="E741" s="5"/>
      <c r="F741" s="5"/>
      <c r="G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T741" s="9"/>
      <c r="W741" s="5"/>
      <c r="AB741" s="5"/>
      <c r="AC741" s="5"/>
      <c r="AH741" s="5"/>
      <c r="AI741" s="5"/>
    </row>
    <row r="742">
      <c r="E742" s="5"/>
      <c r="F742" s="5"/>
      <c r="G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T742" s="9"/>
      <c r="W742" s="5"/>
      <c r="AB742" s="5"/>
      <c r="AC742" s="5"/>
      <c r="AH742" s="5"/>
      <c r="AI742" s="5"/>
    </row>
    <row r="743">
      <c r="E743" s="5"/>
      <c r="F743" s="5"/>
      <c r="G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T743" s="9"/>
      <c r="W743" s="5"/>
      <c r="AB743" s="5"/>
      <c r="AC743" s="5"/>
      <c r="AH743" s="5"/>
      <c r="AI743" s="5"/>
    </row>
    <row r="744">
      <c r="E744" s="5"/>
      <c r="F744" s="5"/>
      <c r="G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T744" s="9"/>
      <c r="W744" s="5"/>
      <c r="AB744" s="5"/>
      <c r="AC744" s="5"/>
      <c r="AH744" s="5"/>
      <c r="AI744" s="5"/>
    </row>
    <row r="745">
      <c r="E745" s="5"/>
      <c r="F745" s="5"/>
      <c r="G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T745" s="9"/>
      <c r="W745" s="5"/>
      <c r="AB745" s="5"/>
      <c r="AC745" s="5"/>
      <c r="AH745" s="5"/>
      <c r="AI745" s="5"/>
    </row>
    <row r="746">
      <c r="E746" s="5"/>
      <c r="F746" s="5"/>
      <c r="G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T746" s="9"/>
      <c r="W746" s="5"/>
      <c r="AB746" s="5"/>
      <c r="AC746" s="5"/>
      <c r="AH746" s="5"/>
      <c r="AI746" s="5"/>
    </row>
    <row r="747">
      <c r="E747" s="5"/>
      <c r="F747" s="5"/>
      <c r="G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T747" s="9"/>
      <c r="W747" s="5"/>
      <c r="AB747" s="5"/>
      <c r="AC747" s="5"/>
      <c r="AH747" s="5"/>
      <c r="AI747" s="5"/>
    </row>
    <row r="748">
      <c r="E748" s="5"/>
      <c r="F748" s="5"/>
      <c r="G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T748" s="9"/>
      <c r="W748" s="5"/>
      <c r="AB748" s="5"/>
      <c r="AC748" s="5"/>
      <c r="AH748" s="5"/>
      <c r="AI748" s="5"/>
    </row>
    <row r="749">
      <c r="E749" s="5"/>
      <c r="F749" s="5"/>
      <c r="G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T749" s="9"/>
      <c r="W749" s="5"/>
      <c r="AB749" s="5"/>
      <c r="AC749" s="5"/>
      <c r="AH749" s="5"/>
      <c r="AI749" s="5"/>
    </row>
    <row r="750">
      <c r="E750" s="5"/>
      <c r="F750" s="5"/>
      <c r="G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T750" s="9"/>
      <c r="W750" s="5"/>
      <c r="AB750" s="5"/>
      <c r="AC750" s="5"/>
      <c r="AH750" s="5"/>
      <c r="AI750" s="5"/>
    </row>
    <row r="751">
      <c r="E751" s="5"/>
      <c r="F751" s="5"/>
      <c r="G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T751" s="9"/>
      <c r="W751" s="5"/>
      <c r="AB751" s="5"/>
      <c r="AC751" s="5"/>
      <c r="AH751" s="5"/>
      <c r="AI751" s="5"/>
    </row>
    <row r="752">
      <c r="E752" s="5"/>
      <c r="F752" s="5"/>
      <c r="G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T752" s="9"/>
      <c r="W752" s="5"/>
      <c r="AB752" s="5"/>
      <c r="AC752" s="5"/>
      <c r="AH752" s="5"/>
      <c r="AI752" s="5"/>
    </row>
    <row r="753">
      <c r="E753" s="5"/>
      <c r="F753" s="5"/>
      <c r="G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T753" s="9"/>
      <c r="W753" s="5"/>
      <c r="AB753" s="5"/>
      <c r="AC753" s="5"/>
      <c r="AH753" s="5"/>
      <c r="AI753" s="5"/>
    </row>
    <row r="754">
      <c r="E754" s="5"/>
      <c r="F754" s="5"/>
      <c r="G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T754" s="9"/>
      <c r="W754" s="5"/>
      <c r="AB754" s="5"/>
      <c r="AC754" s="5"/>
      <c r="AH754" s="5"/>
      <c r="AI754" s="5"/>
    </row>
    <row r="755">
      <c r="E755" s="5"/>
      <c r="F755" s="5"/>
      <c r="G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T755" s="9"/>
      <c r="W755" s="5"/>
      <c r="AB755" s="5"/>
      <c r="AC755" s="5"/>
      <c r="AH755" s="5"/>
      <c r="AI755" s="5"/>
    </row>
    <row r="756">
      <c r="E756" s="5"/>
      <c r="F756" s="5"/>
      <c r="G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T756" s="9"/>
      <c r="W756" s="5"/>
      <c r="AB756" s="5"/>
      <c r="AC756" s="5"/>
      <c r="AH756" s="5"/>
      <c r="AI756" s="5"/>
    </row>
    <row r="757">
      <c r="E757" s="5"/>
      <c r="F757" s="5"/>
      <c r="G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T757" s="9"/>
      <c r="W757" s="5"/>
      <c r="AB757" s="5"/>
      <c r="AC757" s="5"/>
      <c r="AH757" s="5"/>
      <c r="AI757" s="5"/>
    </row>
    <row r="758">
      <c r="E758" s="5"/>
      <c r="F758" s="5"/>
      <c r="G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T758" s="9"/>
      <c r="W758" s="5"/>
      <c r="AB758" s="5"/>
      <c r="AC758" s="5"/>
      <c r="AH758" s="5"/>
      <c r="AI758" s="5"/>
    </row>
    <row r="759">
      <c r="E759" s="5"/>
      <c r="F759" s="5"/>
      <c r="G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T759" s="9"/>
      <c r="W759" s="5"/>
      <c r="AB759" s="5"/>
      <c r="AC759" s="5"/>
      <c r="AH759" s="5"/>
      <c r="AI759" s="5"/>
    </row>
    <row r="760">
      <c r="E760" s="5"/>
      <c r="F760" s="5"/>
      <c r="G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T760" s="9"/>
      <c r="W760" s="5"/>
      <c r="AB760" s="5"/>
      <c r="AC760" s="5"/>
      <c r="AH760" s="5"/>
      <c r="AI760" s="5"/>
    </row>
    <row r="761">
      <c r="E761" s="5"/>
      <c r="F761" s="5"/>
      <c r="G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T761" s="9"/>
      <c r="W761" s="5"/>
      <c r="AB761" s="5"/>
      <c r="AC761" s="5"/>
      <c r="AH761" s="5"/>
      <c r="AI761" s="5"/>
    </row>
    <row r="762">
      <c r="E762" s="5"/>
      <c r="F762" s="5"/>
      <c r="G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T762" s="9"/>
      <c r="W762" s="5"/>
      <c r="AB762" s="5"/>
      <c r="AC762" s="5"/>
      <c r="AH762" s="5"/>
      <c r="AI762" s="5"/>
    </row>
    <row r="763">
      <c r="E763" s="5"/>
      <c r="F763" s="5"/>
      <c r="G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T763" s="9"/>
      <c r="W763" s="5"/>
      <c r="AB763" s="5"/>
      <c r="AC763" s="5"/>
      <c r="AH763" s="5"/>
      <c r="AI763" s="5"/>
    </row>
    <row r="764">
      <c r="E764" s="5"/>
      <c r="F764" s="5"/>
      <c r="G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T764" s="9"/>
      <c r="W764" s="5"/>
      <c r="AB764" s="5"/>
      <c r="AC764" s="5"/>
      <c r="AH764" s="5"/>
      <c r="AI764" s="5"/>
    </row>
    <row r="765">
      <c r="E765" s="5"/>
      <c r="F765" s="5"/>
      <c r="G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T765" s="9"/>
      <c r="W765" s="5"/>
      <c r="AB765" s="5"/>
      <c r="AC765" s="5"/>
      <c r="AH765" s="5"/>
      <c r="AI765" s="5"/>
    </row>
    <row r="766">
      <c r="E766" s="5"/>
      <c r="F766" s="5"/>
      <c r="G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T766" s="9"/>
      <c r="W766" s="5"/>
      <c r="AB766" s="5"/>
      <c r="AC766" s="5"/>
      <c r="AH766" s="5"/>
      <c r="AI766" s="5"/>
    </row>
    <row r="767">
      <c r="E767" s="5"/>
      <c r="F767" s="5"/>
      <c r="G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T767" s="9"/>
      <c r="W767" s="5"/>
      <c r="AB767" s="5"/>
      <c r="AC767" s="5"/>
      <c r="AH767" s="5"/>
      <c r="AI767" s="5"/>
    </row>
    <row r="768">
      <c r="E768" s="5"/>
      <c r="F768" s="5"/>
      <c r="G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T768" s="9"/>
      <c r="W768" s="5"/>
      <c r="AB768" s="5"/>
      <c r="AC768" s="5"/>
      <c r="AH768" s="5"/>
      <c r="AI768" s="5"/>
    </row>
    <row r="769">
      <c r="E769" s="5"/>
      <c r="F769" s="5"/>
      <c r="G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T769" s="9"/>
      <c r="W769" s="5"/>
      <c r="AB769" s="5"/>
      <c r="AC769" s="5"/>
      <c r="AH769" s="5"/>
      <c r="AI769" s="5"/>
    </row>
    <row r="770">
      <c r="E770" s="5"/>
      <c r="F770" s="5"/>
      <c r="G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T770" s="9"/>
      <c r="W770" s="5"/>
      <c r="AB770" s="5"/>
      <c r="AC770" s="5"/>
      <c r="AH770" s="5"/>
      <c r="AI770" s="5"/>
    </row>
    <row r="771">
      <c r="E771" s="5"/>
      <c r="F771" s="5"/>
      <c r="G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T771" s="9"/>
      <c r="W771" s="5"/>
      <c r="AB771" s="5"/>
      <c r="AC771" s="5"/>
      <c r="AH771" s="5"/>
      <c r="AI771" s="5"/>
    </row>
    <row r="772">
      <c r="E772" s="5"/>
      <c r="F772" s="5"/>
      <c r="G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T772" s="9"/>
      <c r="W772" s="5"/>
      <c r="AB772" s="5"/>
      <c r="AC772" s="5"/>
      <c r="AH772" s="5"/>
      <c r="AI772" s="5"/>
    </row>
    <row r="773">
      <c r="E773" s="5"/>
      <c r="F773" s="5"/>
      <c r="G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T773" s="9"/>
      <c r="W773" s="5"/>
      <c r="AB773" s="5"/>
      <c r="AC773" s="5"/>
      <c r="AH773" s="5"/>
      <c r="AI773" s="5"/>
    </row>
    <row r="774">
      <c r="E774" s="5"/>
      <c r="F774" s="5"/>
      <c r="G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T774" s="9"/>
      <c r="W774" s="5"/>
      <c r="AB774" s="5"/>
      <c r="AC774" s="5"/>
      <c r="AH774" s="5"/>
      <c r="AI774" s="5"/>
    </row>
    <row r="775">
      <c r="E775" s="5"/>
      <c r="F775" s="5"/>
      <c r="G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T775" s="9"/>
      <c r="W775" s="5"/>
      <c r="AB775" s="5"/>
      <c r="AC775" s="5"/>
      <c r="AH775" s="5"/>
      <c r="AI775" s="5"/>
    </row>
    <row r="776">
      <c r="E776" s="5"/>
      <c r="F776" s="5"/>
      <c r="G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T776" s="9"/>
      <c r="W776" s="5"/>
      <c r="AB776" s="5"/>
      <c r="AC776" s="5"/>
      <c r="AH776" s="5"/>
      <c r="AI776" s="5"/>
    </row>
    <row r="777">
      <c r="E777" s="5"/>
      <c r="F777" s="5"/>
      <c r="G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T777" s="9"/>
      <c r="W777" s="5"/>
      <c r="AB777" s="5"/>
      <c r="AC777" s="5"/>
      <c r="AH777" s="5"/>
      <c r="AI777" s="5"/>
    </row>
    <row r="778">
      <c r="E778" s="5"/>
      <c r="F778" s="5"/>
      <c r="G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T778" s="9"/>
      <c r="W778" s="5"/>
      <c r="AB778" s="5"/>
      <c r="AC778" s="5"/>
      <c r="AH778" s="5"/>
      <c r="AI778" s="5"/>
    </row>
    <row r="779">
      <c r="E779" s="5"/>
      <c r="F779" s="5"/>
      <c r="G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T779" s="9"/>
      <c r="W779" s="5"/>
      <c r="AB779" s="5"/>
      <c r="AC779" s="5"/>
      <c r="AH779" s="5"/>
      <c r="AI779" s="5"/>
    </row>
    <row r="780">
      <c r="E780" s="5"/>
      <c r="F780" s="5"/>
      <c r="G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T780" s="9"/>
      <c r="W780" s="5"/>
      <c r="AB780" s="5"/>
      <c r="AC780" s="5"/>
      <c r="AH780" s="5"/>
      <c r="AI780" s="5"/>
    </row>
    <row r="781">
      <c r="E781" s="5"/>
      <c r="F781" s="5"/>
      <c r="G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T781" s="9"/>
      <c r="W781" s="5"/>
      <c r="AB781" s="5"/>
      <c r="AC781" s="5"/>
      <c r="AH781" s="5"/>
      <c r="AI781" s="5"/>
    </row>
    <row r="782">
      <c r="E782" s="5"/>
      <c r="F782" s="5"/>
      <c r="G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T782" s="9"/>
      <c r="W782" s="5"/>
      <c r="AB782" s="5"/>
      <c r="AC782" s="5"/>
      <c r="AH782" s="5"/>
      <c r="AI782" s="5"/>
    </row>
    <row r="783">
      <c r="E783" s="5"/>
      <c r="F783" s="5"/>
      <c r="G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T783" s="9"/>
      <c r="W783" s="5"/>
      <c r="AB783" s="5"/>
      <c r="AC783" s="5"/>
      <c r="AH783" s="5"/>
      <c r="AI783" s="5"/>
    </row>
    <row r="784">
      <c r="E784" s="5"/>
      <c r="F784" s="5"/>
      <c r="G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T784" s="9"/>
      <c r="W784" s="5"/>
      <c r="AB784" s="5"/>
      <c r="AC784" s="5"/>
      <c r="AH784" s="5"/>
      <c r="AI784" s="5"/>
    </row>
    <row r="785">
      <c r="E785" s="5"/>
      <c r="F785" s="5"/>
      <c r="G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T785" s="9"/>
      <c r="W785" s="5"/>
      <c r="AB785" s="5"/>
      <c r="AC785" s="5"/>
      <c r="AH785" s="5"/>
      <c r="AI785" s="5"/>
    </row>
    <row r="786">
      <c r="E786" s="5"/>
      <c r="F786" s="5"/>
      <c r="G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T786" s="9"/>
      <c r="W786" s="5"/>
      <c r="AB786" s="5"/>
      <c r="AC786" s="5"/>
      <c r="AH786" s="5"/>
      <c r="AI786" s="5"/>
    </row>
    <row r="787">
      <c r="E787" s="5"/>
      <c r="F787" s="5"/>
      <c r="G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T787" s="9"/>
      <c r="W787" s="5"/>
      <c r="AB787" s="5"/>
      <c r="AC787" s="5"/>
      <c r="AH787" s="5"/>
      <c r="AI787" s="5"/>
    </row>
    <row r="788">
      <c r="E788" s="5"/>
      <c r="F788" s="5"/>
      <c r="G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T788" s="9"/>
      <c r="W788" s="5"/>
      <c r="AB788" s="5"/>
      <c r="AC788" s="5"/>
      <c r="AH788" s="5"/>
      <c r="AI788" s="5"/>
    </row>
    <row r="789">
      <c r="E789" s="5"/>
      <c r="F789" s="5"/>
      <c r="G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T789" s="9"/>
      <c r="W789" s="5"/>
      <c r="AB789" s="5"/>
      <c r="AC789" s="5"/>
      <c r="AH789" s="5"/>
      <c r="AI789" s="5"/>
    </row>
    <row r="790">
      <c r="E790" s="5"/>
      <c r="F790" s="5"/>
      <c r="G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T790" s="9"/>
      <c r="W790" s="5"/>
      <c r="AB790" s="5"/>
      <c r="AC790" s="5"/>
      <c r="AH790" s="5"/>
      <c r="AI790" s="5"/>
    </row>
    <row r="791">
      <c r="E791" s="5"/>
      <c r="F791" s="5"/>
      <c r="G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T791" s="9"/>
      <c r="W791" s="5"/>
      <c r="AB791" s="5"/>
      <c r="AC791" s="5"/>
      <c r="AH791" s="5"/>
      <c r="AI791" s="5"/>
    </row>
    <row r="792">
      <c r="E792" s="5"/>
      <c r="F792" s="5"/>
      <c r="G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T792" s="9"/>
      <c r="W792" s="5"/>
      <c r="AB792" s="5"/>
      <c r="AC792" s="5"/>
      <c r="AH792" s="5"/>
      <c r="AI792" s="5"/>
    </row>
    <row r="793">
      <c r="E793" s="5"/>
      <c r="F793" s="5"/>
      <c r="G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T793" s="9"/>
      <c r="W793" s="5"/>
      <c r="AB793" s="5"/>
      <c r="AC793" s="5"/>
      <c r="AH793" s="5"/>
      <c r="AI793" s="5"/>
    </row>
    <row r="794">
      <c r="E794" s="5"/>
      <c r="F794" s="5"/>
      <c r="G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T794" s="9"/>
      <c r="W794" s="5"/>
      <c r="AB794" s="5"/>
      <c r="AC794" s="5"/>
      <c r="AH794" s="5"/>
      <c r="AI794" s="5"/>
    </row>
    <row r="795">
      <c r="E795" s="5"/>
      <c r="F795" s="5"/>
      <c r="G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T795" s="9"/>
      <c r="W795" s="5"/>
      <c r="AB795" s="5"/>
      <c r="AC795" s="5"/>
      <c r="AH795" s="5"/>
      <c r="AI795" s="5"/>
    </row>
    <row r="796">
      <c r="E796" s="5"/>
      <c r="F796" s="5"/>
      <c r="G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T796" s="9"/>
      <c r="W796" s="5"/>
      <c r="AB796" s="5"/>
      <c r="AC796" s="5"/>
      <c r="AH796" s="5"/>
      <c r="AI796" s="5"/>
    </row>
    <row r="797">
      <c r="E797" s="5"/>
      <c r="F797" s="5"/>
      <c r="G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T797" s="9"/>
      <c r="W797" s="5"/>
      <c r="AB797" s="5"/>
      <c r="AC797" s="5"/>
      <c r="AH797" s="5"/>
      <c r="AI797" s="5"/>
    </row>
    <row r="798">
      <c r="E798" s="5"/>
      <c r="F798" s="5"/>
      <c r="G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T798" s="9"/>
      <c r="W798" s="5"/>
      <c r="AB798" s="5"/>
      <c r="AC798" s="5"/>
      <c r="AH798" s="5"/>
      <c r="AI798" s="5"/>
    </row>
    <row r="799">
      <c r="E799" s="5"/>
      <c r="F799" s="5"/>
      <c r="G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T799" s="9"/>
      <c r="W799" s="5"/>
      <c r="AB799" s="5"/>
      <c r="AC799" s="5"/>
      <c r="AH799" s="5"/>
      <c r="AI799" s="5"/>
    </row>
    <row r="800">
      <c r="E800" s="5"/>
      <c r="F800" s="5"/>
      <c r="G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T800" s="9"/>
      <c r="W800" s="5"/>
      <c r="AB800" s="5"/>
      <c r="AC800" s="5"/>
      <c r="AH800" s="5"/>
      <c r="AI800" s="5"/>
    </row>
    <row r="801">
      <c r="E801" s="5"/>
      <c r="F801" s="5"/>
      <c r="G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T801" s="9"/>
      <c r="W801" s="5"/>
      <c r="AB801" s="5"/>
      <c r="AC801" s="5"/>
      <c r="AH801" s="5"/>
      <c r="AI801" s="5"/>
    </row>
    <row r="802">
      <c r="E802" s="5"/>
      <c r="F802" s="5"/>
      <c r="G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T802" s="9"/>
      <c r="W802" s="5"/>
      <c r="AB802" s="5"/>
      <c r="AC802" s="5"/>
      <c r="AH802" s="5"/>
      <c r="AI802" s="5"/>
    </row>
    <row r="803">
      <c r="E803" s="5"/>
      <c r="F803" s="5"/>
      <c r="G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T803" s="9"/>
      <c r="W803" s="5"/>
      <c r="AB803" s="5"/>
      <c r="AC803" s="5"/>
      <c r="AH803" s="5"/>
      <c r="AI803" s="5"/>
    </row>
    <row r="804">
      <c r="E804" s="5"/>
      <c r="F804" s="5"/>
      <c r="G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T804" s="9"/>
      <c r="W804" s="5"/>
      <c r="AB804" s="5"/>
      <c r="AC804" s="5"/>
      <c r="AH804" s="5"/>
      <c r="AI804" s="5"/>
    </row>
    <row r="805">
      <c r="E805" s="5"/>
      <c r="F805" s="5"/>
      <c r="G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T805" s="9"/>
      <c r="W805" s="5"/>
      <c r="AB805" s="5"/>
      <c r="AC805" s="5"/>
      <c r="AH805" s="5"/>
      <c r="AI805" s="5"/>
    </row>
    <row r="806">
      <c r="E806" s="5"/>
      <c r="F806" s="5"/>
      <c r="G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T806" s="9"/>
      <c r="W806" s="5"/>
      <c r="AB806" s="5"/>
      <c r="AC806" s="5"/>
      <c r="AH806" s="5"/>
      <c r="AI806" s="5"/>
    </row>
    <row r="807">
      <c r="E807" s="5"/>
      <c r="F807" s="5"/>
      <c r="G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T807" s="9"/>
      <c r="W807" s="5"/>
      <c r="AB807" s="5"/>
      <c r="AC807" s="5"/>
      <c r="AH807" s="5"/>
      <c r="AI807" s="5"/>
    </row>
    <row r="808">
      <c r="E808" s="5"/>
      <c r="F808" s="5"/>
      <c r="G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T808" s="9"/>
      <c r="W808" s="5"/>
      <c r="AB808" s="5"/>
      <c r="AC808" s="5"/>
      <c r="AH808" s="5"/>
      <c r="AI808" s="5"/>
    </row>
    <row r="809">
      <c r="E809" s="5"/>
      <c r="F809" s="5"/>
      <c r="G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T809" s="9"/>
      <c r="W809" s="5"/>
      <c r="AB809" s="5"/>
      <c r="AC809" s="5"/>
      <c r="AH809" s="5"/>
      <c r="AI809" s="5"/>
    </row>
    <row r="810">
      <c r="E810" s="5"/>
      <c r="F810" s="5"/>
      <c r="G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T810" s="9"/>
      <c r="W810" s="5"/>
      <c r="AB810" s="5"/>
      <c r="AC810" s="5"/>
      <c r="AH810" s="5"/>
      <c r="AI810" s="5"/>
    </row>
    <row r="811">
      <c r="E811" s="5"/>
      <c r="F811" s="5"/>
      <c r="G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T811" s="9"/>
      <c r="W811" s="5"/>
      <c r="AB811" s="5"/>
      <c r="AC811" s="5"/>
      <c r="AH811" s="5"/>
      <c r="AI811" s="5"/>
    </row>
    <row r="812">
      <c r="E812" s="5"/>
      <c r="F812" s="5"/>
      <c r="G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T812" s="9"/>
      <c r="W812" s="5"/>
      <c r="AB812" s="5"/>
      <c r="AC812" s="5"/>
      <c r="AH812" s="5"/>
      <c r="AI812" s="5"/>
    </row>
    <row r="813">
      <c r="E813" s="5"/>
      <c r="F813" s="5"/>
      <c r="G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T813" s="9"/>
      <c r="W813" s="5"/>
      <c r="AB813" s="5"/>
      <c r="AC813" s="5"/>
      <c r="AH813" s="5"/>
      <c r="AI813" s="5"/>
    </row>
    <row r="814">
      <c r="E814" s="5"/>
      <c r="F814" s="5"/>
      <c r="G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T814" s="9"/>
      <c r="W814" s="5"/>
      <c r="AB814" s="5"/>
      <c r="AC814" s="5"/>
      <c r="AH814" s="5"/>
      <c r="AI814" s="5"/>
    </row>
    <row r="815">
      <c r="E815" s="5"/>
      <c r="F815" s="5"/>
      <c r="G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T815" s="9"/>
      <c r="W815" s="5"/>
      <c r="AB815" s="5"/>
      <c r="AC815" s="5"/>
      <c r="AH815" s="5"/>
      <c r="AI815" s="5"/>
    </row>
    <row r="816">
      <c r="E816" s="5"/>
      <c r="F816" s="5"/>
      <c r="G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T816" s="9"/>
      <c r="W816" s="5"/>
      <c r="AB816" s="5"/>
      <c r="AC816" s="5"/>
      <c r="AH816" s="5"/>
      <c r="AI816" s="5"/>
    </row>
    <row r="817">
      <c r="E817" s="5"/>
      <c r="F817" s="5"/>
      <c r="G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T817" s="9"/>
      <c r="W817" s="5"/>
      <c r="AB817" s="5"/>
      <c r="AC817" s="5"/>
      <c r="AH817" s="5"/>
      <c r="AI817" s="5"/>
    </row>
    <row r="818">
      <c r="E818" s="5"/>
      <c r="F818" s="5"/>
      <c r="G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T818" s="9"/>
      <c r="W818" s="5"/>
      <c r="AB818" s="5"/>
      <c r="AC818" s="5"/>
      <c r="AH818" s="5"/>
      <c r="AI818" s="5"/>
    </row>
    <row r="819">
      <c r="E819" s="5"/>
      <c r="F819" s="5"/>
      <c r="G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T819" s="9"/>
      <c r="W819" s="5"/>
      <c r="AB819" s="5"/>
      <c r="AC819" s="5"/>
      <c r="AH819" s="5"/>
      <c r="AI819" s="5"/>
    </row>
    <row r="820">
      <c r="E820" s="5"/>
      <c r="F820" s="5"/>
      <c r="G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T820" s="9"/>
      <c r="W820" s="5"/>
      <c r="AB820" s="5"/>
      <c r="AC820" s="5"/>
      <c r="AH820" s="5"/>
      <c r="AI820" s="5"/>
    </row>
    <row r="821">
      <c r="E821" s="5"/>
      <c r="F821" s="5"/>
      <c r="G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T821" s="9"/>
      <c r="W821" s="5"/>
      <c r="AB821" s="5"/>
      <c r="AC821" s="5"/>
      <c r="AH821" s="5"/>
      <c r="AI821" s="5"/>
    </row>
    <row r="822">
      <c r="E822" s="5"/>
      <c r="F822" s="5"/>
      <c r="G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T822" s="9"/>
      <c r="W822" s="5"/>
      <c r="AB822" s="5"/>
      <c r="AC822" s="5"/>
      <c r="AH822" s="5"/>
      <c r="AI822" s="5"/>
    </row>
    <row r="823">
      <c r="E823" s="5"/>
      <c r="F823" s="5"/>
      <c r="G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T823" s="9"/>
      <c r="W823" s="5"/>
      <c r="AB823" s="5"/>
      <c r="AC823" s="5"/>
      <c r="AH823" s="5"/>
      <c r="AI823" s="5"/>
    </row>
    <row r="824">
      <c r="E824" s="5"/>
      <c r="F824" s="5"/>
      <c r="G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T824" s="9"/>
      <c r="W824" s="5"/>
      <c r="AB824" s="5"/>
      <c r="AC824" s="5"/>
      <c r="AH824" s="5"/>
      <c r="AI824" s="5"/>
    </row>
    <row r="825">
      <c r="E825" s="5"/>
      <c r="F825" s="5"/>
      <c r="G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T825" s="9"/>
      <c r="W825" s="5"/>
      <c r="AB825" s="5"/>
      <c r="AC825" s="5"/>
      <c r="AH825" s="5"/>
      <c r="AI825" s="5"/>
    </row>
    <row r="826">
      <c r="E826" s="5"/>
      <c r="F826" s="5"/>
      <c r="G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T826" s="9"/>
      <c r="W826" s="5"/>
      <c r="AB826" s="5"/>
      <c r="AC826" s="5"/>
      <c r="AH826" s="5"/>
      <c r="AI826" s="5"/>
    </row>
    <row r="827">
      <c r="E827" s="5"/>
      <c r="F827" s="5"/>
      <c r="G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T827" s="9"/>
      <c r="W827" s="5"/>
      <c r="AB827" s="5"/>
      <c r="AC827" s="5"/>
      <c r="AH827" s="5"/>
      <c r="AI827" s="5"/>
    </row>
    <row r="828">
      <c r="E828" s="5"/>
      <c r="F828" s="5"/>
      <c r="G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T828" s="9"/>
      <c r="W828" s="5"/>
      <c r="AB828" s="5"/>
      <c r="AC828" s="5"/>
      <c r="AH828" s="5"/>
      <c r="AI828" s="5"/>
    </row>
    <row r="829">
      <c r="E829" s="5"/>
      <c r="F829" s="5"/>
      <c r="G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T829" s="9"/>
      <c r="W829" s="5"/>
      <c r="AB829" s="5"/>
      <c r="AC829" s="5"/>
      <c r="AH829" s="5"/>
      <c r="AI829" s="5"/>
    </row>
    <row r="830">
      <c r="E830" s="5"/>
      <c r="F830" s="5"/>
      <c r="G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T830" s="9"/>
      <c r="W830" s="5"/>
      <c r="AB830" s="5"/>
      <c r="AC830" s="5"/>
      <c r="AH830" s="5"/>
      <c r="AI830" s="5"/>
    </row>
    <row r="831">
      <c r="E831" s="5"/>
      <c r="F831" s="5"/>
      <c r="G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T831" s="9"/>
      <c r="W831" s="5"/>
      <c r="AB831" s="5"/>
      <c r="AC831" s="5"/>
      <c r="AH831" s="5"/>
      <c r="AI831" s="5"/>
    </row>
    <row r="832">
      <c r="E832" s="5"/>
      <c r="F832" s="5"/>
      <c r="G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T832" s="9"/>
      <c r="W832" s="5"/>
      <c r="AB832" s="5"/>
      <c r="AC832" s="5"/>
      <c r="AH832" s="5"/>
      <c r="AI832" s="5"/>
    </row>
    <row r="833">
      <c r="E833" s="5"/>
      <c r="F833" s="5"/>
      <c r="G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T833" s="9"/>
      <c r="W833" s="5"/>
      <c r="AB833" s="5"/>
      <c r="AC833" s="5"/>
      <c r="AH833" s="5"/>
      <c r="AI833" s="5"/>
    </row>
    <row r="834">
      <c r="E834" s="5"/>
      <c r="F834" s="5"/>
      <c r="G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T834" s="9"/>
      <c r="W834" s="5"/>
      <c r="AB834" s="5"/>
      <c r="AC834" s="5"/>
      <c r="AH834" s="5"/>
      <c r="AI834" s="5"/>
    </row>
    <row r="835">
      <c r="E835" s="5"/>
      <c r="F835" s="5"/>
      <c r="G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T835" s="9"/>
      <c r="W835" s="5"/>
      <c r="AB835" s="5"/>
      <c r="AC835" s="5"/>
      <c r="AH835" s="5"/>
      <c r="AI835" s="5"/>
    </row>
    <row r="836">
      <c r="E836" s="5"/>
      <c r="F836" s="5"/>
      <c r="G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T836" s="9"/>
      <c r="W836" s="5"/>
      <c r="AB836" s="5"/>
      <c r="AC836" s="5"/>
      <c r="AH836" s="5"/>
      <c r="AI836" s="5"/>
    </row>
    <row r="837">
      <c r="E837" s="5"/>
      <c r="F837" s="5"/>
      <c r="G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T837" s="9"/>
      <c r="W837" s="5"/>
      <c r="AB837" s="5"/>
      <c r="AC837" s="5"/>
      <c r="AH837" s="5"/>
      <c r="AI837" s="5"/>
    </row>
    <row r="838">
      <c r="E838" s="5"/>
      <c r="F838" s="5"/>
      <c r="G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T838" s="9"/>
      <c r="W838" s="5"/>
      <c r="AB838" s="5"/>
      <c r="AC838" s="5"/>
      <c r="AH838" s="5"/>
      <c r="AI838" s="5"/>
    </row>
    <row r="839">
      <c r="E839" s="5"/>
      <c r="F839" s="5"/>
      <c r="G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T839" s="9"/>
      <c r="W839" s="5"/>
      <c r="AB839" s="5"/>
      <c r="AC839" s="5"/>
      <c r="AH839" s="5"/>
      <c r="AI839" s="5"/>
    </row>
    <row r="840">
      <c r="E840" s="5"/>
      <c r="F840" s="5"/>
      <c r="G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T840" s="9"/>
      <c r="W840" s="5"/>
      <c r="AB840" s="5"/>
      <c r="AC840" s="5"/>
      <c r="AH840" s="5"/>
      <c r="AI840" s="5"/>
    </row>
    <row r="841">
      <c r="E841" s="5"/>
      <c r="F841" s="5"/>
      <c r="G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T841" s="9"/>
      <c r="W841" s="5"/>
      <c r="AB841" s="5"/>
      <c r="AC841" s="5"/>
      <c r="AH841" s="5"/>
      <c r="AI841" s="5"/>
    </row>
    <row r="842">
      <c r="E842" s="5"/>
      <c r="F842" s="5"/>
      <c r="G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T842" s="9"/>
      <c r="W842" s="5"/>
      <c r="AB842" s="5"/>
      <c r="AC842" s="5"/>
      <c r="AH842" s="5"/>
      <c r="AI842" s="5"/>
    </row>
    <row r="843">
      <c r="E843" s="5"/>
      <c r="F843" s="5"/>
      <c r="G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T843" s="9"/>
      <c r="W843" s="5"/>
      <c r="AB843" s="5"/>
      <c r="AC843" s="5"/>
      <c r="AH843" s="5"/>
      <c r="AI843" s="5"/>
    </row>
    <row r="844">
      <c r="E844" s="5"/>
      <c r="F844" s="5"/>
      <c r="G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T844" s="9"/>
      <c r="W844" s="5"/>
      <c r="AB844" s="5"/>
      <c r="AC844" s="5"/>
      <c r="AH844" s="5"/>
      <c r="AI844" s="5"/>
    </row>
    <row r="845">
      <c r="E845" s="5"/>
      <c r="F845" s="5"/>
      <c r="G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T845" s="9"/>
      <c r="W845" s="5"/>
      <c r="AB845" s="5"/>
      <c r="AC845" s="5"/>
      <c r="AH845" s="5"/>
      <c r="AI845" s="5"/>
    </row>
    <row r="846">
      <c r="E846" s="5"/>
      <c r="F846" s="5"/>
      <c r="G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T846" s="9"/>
      <c r="W846" s="5"/>
      <c r="AB846" s="5"/>
      <c r="AC846" s="5"/>
      <c r="AH846" s="5"/>
      <c r="AI846" s="5"/>
    </row>
    <row r="847">
      <c r="E847" s="5"/>
      <c r="F847" s="5"/>
      <c r="G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T847" s="9"/>
      <c r="W847" s="5"/>
      <c r="AB847" s="5"/>
      <c r="AC847" s="5"/>
      <c r="AH847" s="5"/>
      <c r="AI847" s="5"/>
    </row>
    <row r="848">
      <c r="E848" s="5"/>
      <c r="F848" s="5"/>
      <c r="G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T848" s="9"/>
      <c r="W848" s="5"/>
      <c r="AB848" s="5"/>
      <c r="AC848" s="5"/>
      <c r="AH848" s="5"/>
      <c r="AI848" s="5"/>
    </row>
    <row r="849">
      <c r="E849" s="5"/>
      <c r="F849" s="5"/>
      <c r="G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T849" s="9"/>
      <c r="W849" s="5"/>
      <c r="AB849" s="5"/>
      <c r="AC849" s="5"/>
      <c r="AH849" s="5"/>
      <c r="AI849" s="5"/>
    </row>
    <row r="850">
      <c r="E850" s="5"/>
      <c r="F850" s="5"/>
      <c r="G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T850" s="9"/>
      <c r="W850" s="5"/>
      <c r="AB850" s="5"/>
      <c r="AC850" s="5"/>
      <c r="AH850" s="5"/>
      <c r="AI850" s="5"/>
    </row>
    <row r="851">
      <c r="E851" s="5"/>
      <c r="F851" s="5"/>
      <c r="G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T851" s="9"/>
      <c r="W851" s="5"/>
      <c r="AB851" s="5"/>
      <c r="AC851" s="5"/>
      <c r="AH851" s="5"/>
      <c r="AI851" s="5"/>
    </row>
    <row r="852">
      <c r="E852" s="5"/>
      <c r="F852" s="5"/>
      <c r="G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T852" s="9"/>
      <c r="W852" s="5"/>
      <c r="AB852" s="5"/>
      <c r="AC852" s="5"/>
      <c r="AH852" s="5"/>
      <c r="AI852" s="5"/>
    </row>
    <row r="853">
      <c r="E853" s="5"/>
      <c r="F853" s="5"/>
      <c r="G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T853" s="9"/>
      <c r="W853" s="5"/>
      <c r="AB853" s="5"/>
      <c r="AC853" s="5"/>
      <c r="AH853" s="5"/>
      <c r="AI853" s="5"/>
    </row>
    <row r="854">
      <c r="E854" s="5"/>
      <c r="F854" s="5"/>
      <c r="G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T854" s="9"/>
      <c r="W854" s="5"/>
      <c r="AB854" s="5"/>
      <c r="AC854" s="5"/>
      <c r="AH854" s="5"/>
      <c r="AI854" s="5"/>
    </row>
    <row r="855">
      <c r="E855" s="5"/>
      <c r="F855" s="5"/>
      <c r="G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T855" s="9"/>
      <c r="W855" s="5"/>
      <c r="AB855" s="5"/>
      <c r="AC855" s="5"/>
      <c r="AH855" s="5"/>
      <c r="AI855" s="5"/>
    </row>
    <row r="856">
      <c r="E856" s="5"/>
      <c r="F856" s="5"/>
      <c r="G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T856" s="9"/>
      <c r="W856" s="5"/>
      <c r="AB856" s="5"/>
      <c r="AC856" s="5"/>
      <c r="AH856" s="5"/>
      <c r="AI856" s="5"/>
    </row>
    <row r="857">
      <c r="E857" s="5"/>
      <c r="F857" s="5"/>
      <c r="G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T857" s="9"/>
      <c r="W857" s="5"/>
      <c r="AB857" s="5"/>
      <c r="AC857" s="5"/>
      <c r="AH857" s="5"/>
      <c r="AI857" s="5"/>
    </row>
    <row r="858">
      <c r="E858" s="5"/>
      <c r="F858" s="5"/>
      <c r="G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T858" s="9"/>
      <c r="W858" s="5"/>
      <c r="AB858" s="5"/>
      <c r="AC858" s="5"/>
      <c r="AH858" s="5"/>
      <c r="AI858" s="5"/>
    </row>
    <row r="859">
      <c r="E859" s="5"/>
      <c r="F859" s="5"/>
      <c r="G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T859" s="9"/>
      <c r="W859" s="5"/>
      <c r="AB859" s="5"/>
      <c r="AC859" s="5"/>
      <c r="AH859" s="5"/>
      <c r="AI859" s="5"/>
    </row>
    <row r="860">
      <c r="E860" s="5"/>
      <c r="F860" s="5"/>
      <c r="G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T860" s="9"/>
      <c r="W860" s="5"/>
      <c r="AB860" s="5"/>
      <c r="AC860" s="5"/>
      <c r="AH860" s="5"/>
      <c r="AI860" s="5"/>
    </row>
    <row r="861">
      <c r="E861" s="5"/>
      <c r="F861" s="5"/>
      <c r="G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T861" s="9"/>
      <c r="W861" s="5"/>
      <c r="AB861" s="5"/>
      <c r="AC861" s="5"/>
      <c r="AH861" s="5"/>
      <c r="AI861" s="5"/>
    </row>
    <row r="862">
      <c r="E862" s="5"/>
      <c r="F862" s="5"/>
      <c r="G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T862" s="9"/>
      <c r="W862" s="5"/>
      <c r="AB862" s="5"/>
      <c r="AC862" s="5"/>
      <c r="AH862" s="5"/>
      <c r="AI862" s="5"/>
    </row>
    <row r="863">
      <c r="E863" s="5"/>
      <c r="F863" s="5"/>
      <c r="G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T863" s="9"/>
      <c r="W863" s="5"/>
      <c r="AB863" s="5"/>
      <c r="AC863" s="5"/>
      <c r="AH863" s="5"/>
      <c r="AI863" s="5"/>
    </row>
    <row r="864">
      <c r="E864" s="5"/>
      <c r="F864" s="5"/>
      <c r="G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T864" s="9"/>
      <c r="W864" s="5"/>
      <c r="AB864" s="5"/>
      <c r="AC864" s="5"/>
      <c r="AH864" s="5"/>
      <c r="AI864" s="5"/>
    </row>
    <row r="865">
      <c r="E865" s="5"/>
      <c r="F865" s="5"/>
      <c r="G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T865" s="9"/>
      <c r="W865" s="5"/>
      <c r="AB865" s="5"/>
      <c r="AC865" s="5"/>
      <c r="AH865" s="5"/>
      <c r="AI865" s="5"/>
    </row>
    <row r="866">
      <c r="E866" s="5"/>
      <c r="F866" s="5"/>
      <c r="G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T866" s="9"/>
      <c r="W866" s="5"/>
      <c r="AB866" s="5"/>
      <c r="AC866" s="5"/>
      <c r="AH866" s="5"/>
      <c r="AI866" s="5"/>
    </row>
    <row r="867">
      <c r="E867" s="5"/>
      <c r="F867" s="5"/>
      <c r="G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T867" s="9"/>
      <c r="W867" s="5"/>
      <c r="AB867" s="5"/>
      <c r="AC867" s="5"/>
      <c r="AH867" s="5"/>
      <c r="AI867" s="5"/>
    </row>
    <row r="868">
      <c r="E868" s="5"/>
      <c r="F868" s="5"/>
      <c r="G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T868" s="9"/>
      <c r="W868" s="5"/>
      <c r="AB868" s="5"/>
      <c r="AC868" s="5"/>
      <c r="AH868" s="5"/>
      <c r="AI868" s="5"/>
    </row>
    <row r="869">
      <c r="E869" s="5"/>
      <c r="F869" s="5"/>
      <c r="G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T869" s="9"/>
      <c r="W869" s="5"/>
      <c r="AB869" s="5"/>
      <c r="AC869" s="5"/>
      <c r="AH869" s="5"/>
      <c r="AI869" s="5"/>
    </row>
    <row r="870">
      <c r="E870" s="5"/>
      <c r="F870" s="5"/>
      <c r="G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T870" s="9"/>
      <c r="W870" s="5"/>
      <c r="AB870" s="5"/>
      <c r="AC870" s="5"/>
      <c r="AH870" s="5"/>
      <c r="AI870" s="5"/>
    </row>
    <row r="871">
      <c r="E871" s="5"/>
      <c r="F871" s="5"/>
      <c r="G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T871" s="9"/>
      <c r="W871" s="5"/>
      <c r="AB871" s="5"/>
      <c r="AC871" s="5"/>
      <c r="AH871" s="5"/>
      <c r="AI871" s="5"/>
    </row>
    <row r="872">
      <c r="E872" s="5"/>
      <c r="F872" s="5"/>
      <c r="G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T872" s="9"/>
      <c r="W872" s="5"/>
      <c r="AB872" s="5"/>
      <c r="AC872" s="5"/>
      <c r="AH872" s="5"/>
      <c r="AI872" s="5"/>
    </row>
    <row r="873">
      <c r="E873" s="5"/>
      <c r="F873" s="5"/>
      <c r="G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T873" s="9"/>
      <c r="W873" s="5"/>
      <c r="AB873" s="5"/>
      <c r="AC873" s="5"/>
      <c r="AH873" s="5"/>
      <c r="AI873" s="5"/>
    </row>
    <row r="874">
      <c r="E874" s="5"/>
      <c r="F874" s="5"/>
      <c r="G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T874" s="9"/>
      <c r="W874" s="5"/>
      <c r="AB874" s="5"/>
      <c r="AC874" s="5"/>
      <c r="AH874" s="5"/>
      <c r="AI874" s="5"/>
    </row>
    <row r="875">
      <c r="E875" s="5"/>
      <c r="F875" s="5"/>
      <c r="G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T875" s="9"/>
      <c r="W875" s="5"/>
      <c r="AB875" s="5"/>
      <c r="AC875" s="5"/>
      <c r="AH875" s="5"/>
      <c r="AI875" s="5"/>
    </row>
    <row r="876">
      <c r="E876" s="5"/>
      <c r="F876" s="5"/>
      <c r="G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T876" s="9"/>
      <c r="W876" s="5"/>
      <c r="AB876" s="5"/>
      <c r="AC876" s="5"/>
      <c r="AH876" s="5"/>
      <c r="AI876" s="5"/>
    </row>
    <row r="877">
      <c r="E877" s="5"/>
      <c r="F877" s="5"/>
      <c r="G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T877" s="9"/>
      <c r="W877" s="5"/>
      <c r="AB877" s="5"/>
      <c r="AC877" s="5"/>
      <c r="AH877" s="5"/>
      <c r="AI877" s="5"/>
    </row>
    <row r="878">
      <c r="E878" s="5"/>
      <c r="F878" s="5"/>
      <c r="G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T878" s="9"/>
      <c r="W878" s="5"/>
      <c r="AB878" s="5"/>
      <c r="AC878" s="5"/>
      <c r="AH878" s="5"/>
      <c r="AI878" s="5"/>
    </row>
    <row r="879">
      <c r="E879" s="5"/>
      <c r="F879" s="5"/>
      <c r="G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T879" s="9"/>
      <c r="W879" s="5"/>
      <c r="AB879" s="5"/>
      <c r="AC879" s="5"/>
      <c r="AH879" s="5"/>
      <c r="AI879" s="5"/>
    </row>
    <row r="880">
      <c r="E880" s="5"/>
      <c r="F880" s="5"/>
      <c r="G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T880" s="9"/>
      <c r="W880" s="5"/>
      <c r="AB880" s="5"/>
      <c r="AC880" s="5"/>
      <c r="AH880" s="5"/>
      <c r="AI880" s="5"/>
    </row>
    <row r="881">
      <c r="E881" s="5"/>
      <c r="F881" s="5"/>
      <c r="G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T881" s="9"/>
      <c r="W881" s="5"/>
      <c r="AB881" s="5"/>
      <c r="AC881" s="5"/>
      <c r="AH881" s="5"/>
      <c r="AI881" s="5"/>
    </row>
    <row r="882">
      <c r="E882" s="5"/>
      <c r="F882" s="5"/>
      <c r="G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T882" s="9"/>
      <c r="W882" s="5"/>
      <c r="AB882" s="5"/>
      <c r="AC882" s="5"/>
      <c r="AH882" s="5"/>
      <c r="AI882" s="5"/>
    </row>
    <row r="883">
      <c r="E883" s="5"/>
      <c r="F883" s="5"/>
      <c r="G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T883" s="9"/>
      <c r="W883" s="5"/>
      <c r="AB883" s="5"/>
      <c r="AC883" s="5"/>
      <c r="AH883" s="5"/>
      <c r="AI883" s="5"/>
    </row>
    <row r="884">
      <c r="E884" s="5"/>
      <c r="F884" s="5"/>
      <c r="G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T884" s="9"/>
      <c r="W884" s="5"/>
      <c r="AB884" s="5"/>
      <c r="AC884" s="5"/>
      <c r="AH884" s="5"/>
      <c r="AI884" s="5"/>
    </row>
    <row r="885">
      <c r="E885" s="5"/>
      <c r="F885" s="5"/>
      <c r="G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T885" s="9"/>
      <c r="W885" s="5"/>
      <c r="AB885" s="5"/>
      <c r="AC885" s="5"/>
      <c r="AH885" s="5"/>
      <c r="AI885" s="5"/>
    </row>
    <row r="886">
      <c r="E886" s="5"/>
      <c r="F886" s="5"/>
      <c r="G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T886" s="9"/>
      <c r="W886" s="5"/>
      <c r="AB886" s="5"/>
      <c r="AC886" s="5"/>
      <c r="AH886" s="5"/>
      <c r="AI886" s="5"/>
    </row>
    <row r="887">
      <c r="E887" s="5"/>
      <c r="F887" s="5"/>
      <c r="G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T887" s="9"/>
      <c r="W887" s="5"/>
      <c r="AB887" s="5"/>
      <c r="AC887" s="5"/>
      <c r="AH887" s="5"/>
      <c r="AI887" s="5"/>
    </row>
    <row r="888">
      <c r="E888" s="5"/>
      <c r="F888" s="5"/>
      <c r="G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T888" s="9"/>
      <c r="W888" s="5"/>
      <c r="AB888" s="5"/>
      <c r="AC888" s="5"/>
      <c r="AH888" s="5"/>
      <c r="AI888" s="5"/>
    </row>
    <row r="889">
      <c r="E889" s="5"/>
      <c r="F889" s="5"/>
      <c r="G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T889" s="9"/>
      <c r="W889" s="5"/>
      <c r="AB889" s="5"/>
      <c r="AC889" s="5"/>
      <c r="AH889" s="5"/>
      <c r="AI889" s="5"/>
    </row>
    <row r="890">
      <c r="E890" s="5"/>
      <c r="F890" s="5"/>
      <c r="G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T890" s="9"/>
      <c r="W890" s="5"/>
      <c r="AB890" s="5"/>
      <c r="AC890" s="5"/>
      <c r="AH890" s="5"/>
      <c r="AI890" s="5"/>
    </row>
    <row r="891">
      <c r="E891" s="5"/>
      <c r="F891" s="5"/>
      <c r="G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T891" s="9"/>
      <c r="W891" s="5"/>
      <c r="AB891" s="5"/>
      <c r="AC891" s="5"/>
      <c r="AH891" s="5"/>
      <c r="AI891" s="5"/>
    </row>
    <row r="892">
      <c r="E892" s="5"/>
      <c r="F892" s="5"/>
      <c r="G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T892" s="9"/>
      <c r="W892" s="5"/>
      <c r="AB892" s="5"/>
      <c r="AC892" s="5"/>
      <c r="AH892" s="5"/>
      <c r="AI892" s="5"/>
    </row>
    <row r="893">
      <c r="E893" s="5"/>
      <c r="F893" s="5"/>
      <c r="G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T893" s="9"/>
      <c r="W893" s="5"/>
      <c r="AB893" s="5"/>
      <c r="AC893" s="5"/>
      <c r="AH893" s="5"/>
      <c r="AI893" s="5"/>
    </row>
    <row r="894">
      <c r="E894" s="5"/>
      <c r="F894" s="5"/>
      <c r="G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T894" s="9"/>
      <c r="W894" s="5"/>
      <c r="AB894" s="5"/>
      <c r="AC894" s="5"/>
      <c r="AH894" s="5"/>
      <c r="AI894" s="5"/>
    </row>
    <row r="895">
      <c r="E895" s="5"/>
      <c r="F895" s="5"/>
      <c r="G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T895" s="9"/>
      <c r="W895" s="5"/>
      <c r="AB895" s="5"/>
      <c r="AC895" s="5"/>
      <c r="AH895" s="5"/>
      <c r="AI895" s="5"/>
    </row>
    <row r="896">
      <c r="E896" s="5"/>
      <c r="F896" s="5"/>
      <c r="G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T896" s="9"/>
      <c r="W896" s="5"/>
      <c r="AB896" s="5"/>
      <c r="AC896" s="5"/>
      <c r="AH896" s="5"/>
      <c r="AI896" s="5"/>
    </row>
    <row r="897">
      <c r="E897" s="5"/>
      <c r="F897" s="5"/>
      <c r="G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T897" s="9"/>
      <c r="W897" s="5"/>
      <c r="AB897" s="5"/>
      <c r="AC897" s="5"/>
      <c r="AH897" s="5"/>
      <c r="AI897" s="5"/>
    </row>
    <row r="898">
      <c r="E898" s="5"/>
      <c r="F898" s="5"/>
      <c r="G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T898" s="9"/>
      <c r="W898" s="5"/>
      <c r="AB898" s="5"/>
      <c r="AC898" s="5"/>
      <c r="AH898" s="5"/>
      <c r="AI898" s="5"/>
    </row>
    <row r="899">
      <c r="E899" s="5"/>
      <c r="F899" s="5"/>
      <c r="G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T899" s="9"/>
      <c r="W899" s="5"/>
      <c r="AB899" s="5"/>
      <c r="AC899" s="5"/>
      <c r="AH899" s="5"/>
      <c r="AI899" s="5"/>
    </row>
    <row r="900">
      <c r="E900" s="5"/>
      <c r="F900" s="5"/>
      <c r="G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T900" s="9"/>
      <c r="W900" s="5"/>
      <c r="AB900" s="5"/>
      <c r="AC900" s="5"/>
      <c r="AH900" s="5"/>
      <c r="AI900" s="5"/>
    </row>
    <row r="901">
      <c r="E901" s="5"/>
      <c r="F901" s="5"/>
      <c r="G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T901" s="9"/>
      <c r="W901" s="5"/>
      <c r="AB901" s="5"/>
      <c r="AC901" s="5"/>
      <c r="AH901" s="5"/>
      <c r="AI901" s="5"/>
    </row>
    <row r="902">
      <c r="E902" s="5"/>
      <c r="F902" s="5"/>
      <c r="G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T902" s="9"/>
      <c r="W902" s="5"/>
      <c r="AB902" s="5"/>
      <c r="AC902" s="5"/>
      <c r="AH902" s="5"/>
      <c r="AI902" s="5"/>
    </row>
    <row r="903">
      <c r="E903" s="5"/>
      <c r="F903" s="5"/>
      <c r="G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T903" s="9"/>
      <c r="W903" s="5"/>
      <c r="AB903" s="5"/>
      <c r="AC903" s="5"/>
      <c r="AH903" s="5"/>
      <c r="AI903" s="5"/>
    </row>
    <row r="904">
      <c r="E904" s="5"/>
      <c r="F904" s="5"/>
      <c r="G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T904" s="9"/>
      <c r="W904" s="5"/>
      <c r="AB904" s="5"/>
      <c r="AC904" s="5"/>
      <c r="AH904" s="5"/>
      <c r="AI904" s="5"/>
    </row>
    <row r="905">
      <c r="E905" s="5"/>
      <c r="F905" s="5"/>
      <c r="G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T905" s="9"/>
      <c r="W905" s="5"/>
      <c r="AB905" s="5"/>
      <c r="AC905" s="5"/>
      <c r="AH905" s="5"/>
      <c r="AI905" s="5"/>
    </row>
    <row r="906">
      <c r="E906" s="5"/>
      <c r="F906" s="5"/>
      <c r="G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T906" s="9"/>
      <c r="W906" s="5"/>
      <c r="AB906" s="5"/>
      <c r="AC906" s="5"/>
      <c r="AH906" s="5"/>
      <c r="AI906" s="5"/>
    </row>
    <row r="907">
      <c r="E907" s="5"/>
      <c r="F907" s="5"/>
      <c r="G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T907" s="9"/>
      <c r="W907" s="5"/>
      <c r="AB907" s="5"/>
      <c r="AC907" s="5"/>
      <c r="AH907" s="5"/>
      <c r="AI907" s="5"/>
    </row>
    <row r="908">
      <c r="E908" s="5"/>
      <c r="F908" s="5"/>
      <c r="G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T908" s="9"/>
      <c r="W908" s="5"/>
      <c r="AB908" s="5"/>
      <c r="AC908" s="5"/>
      <c r="AH908" s="5"/>
      <c r="AI908" s="5"/>
    </row>
    <row r="909">
      <c r="E909" s="5"/>
      <c r="F909" s="5"/>
      <c r="G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T909" s="9"/>
      <c r="W909" s="5"/>
      <c r="AB909" s="5"/>
      <c r="AC909" s="5"/>
      <c r="AH909" s="5"/>
      <c r="AI909" s="5"/>
    </row>
    <row r="910">
      <c r="E910" s="5"/>
      <c r="F910" s="5"/>
      <c r="G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T910" s="9"/>
      <c r="W910" s="5"/>
      <c r="AB910" s="5"/>
      <c r="AC910" s="5"/>
      <c r="AH910" s="5"/>
      <c r="AI910" s="5"/>
    </row>
    <row r="911">
      <c r="E911" s="5"/>
      <c r="F911" s="5"/>
      <c r="G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T911" s="9"/>
      <c r="W911" s="5"/>
      <c r="AB911" s="5"/>
      <c r="AC911" s="5"/>
      <c r="AH911" s="5"/>
      <c r="AI911" s="5"/>
    </row>
    <row r="912">
      <c r="E912" s="5"/>
      <c r="F912" s="5"/>
      <c r="G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T912" s="9"/>
      <c r="W912" s="5"/>
      <c r="AB912" s="5"/>
      <c r="AC912" s="5"/>
      <c r="AH912" s="5"/>
      <c r="AI912" s="5"/>
    </row>
    <row r="913">
      <c r="E913" s="5"/>
      <c r="F913" s="5"/>
      <c r="G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T913" s="9"/>
      <c r="W913" s="5"/>
      <c r="AB913" s="5"/>
      <c r="AC913" s="5"/>
      <c r="AH913" s="5"/>
      <c r="AI913" s="5"/>
    </row>
    <row r="914">
      <c r="E914" s="5"/>
      <c r="F914" s="5"/>
      <c r="G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T914" s="9"/>
      <c r="W914" s="5"/>
      <c r="AB914" s="5"/>
      <c r="AC914" s="5"/>
      <c r="AH914" s="5"/>
      <c r="AI914" s="5"/>
    </row>
    <row r="915">
      <c r="E915" s="5"/>
      <c r="F915" s="5"/>
      <c r="G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T915" s="9"/>
      <c r="W915" s="5"/>
      <c r="AB915" s="5"/>
      <c r="AC915" s="5"/>
      <c r="AH915" s="5"/>
      <c r="AI915" s="5"/>
    </row>
    <row r="916">
      <c r="E916" s="5"/>
      <c r="F916" s="5"/>
      <c r="G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T916" s="9"/>
      <c r="W916" s="5"/>
      <c r="AB916" s="5"/>
      <c r="AC916" s="5"/>
      <c r="AH916" s="5"/>
      <c r="AI916" s="5"/>
    </row>
    <row r="917">
      <c r="E917" s="5"/>
      <c r="F917" s="5"/>
      <c r="G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T917" s="9"/>
      <c r="W917" s="5"/>
      <c r="AB917" s="5"/>
      <c r="AC917" s="5"/>
      <c r="AH917" s="5"/>
      <c r="AI917" s="5"/>
    </row>
    <row r="918">
      <c r="E918" s="5"/>
      <c r="F918" s="5"/>
      <c r="G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T918" s="9"/>
      <c r="W918" s="5"/>
      <c r="AB918" s="5"/>
      <c r="AC918" s="5"/>
      <c r="AH918" s="5"/>
      <c r="AI918" s="5"/>
    </row>
    <row r="919">
      <c r="E919" s="5"/>
      <c r="F919" s="5"/>
      <c r="G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T919" s="9"/>
      <c r="W919" s="5"/>
      <c r="AB919" s="5"/>
      <c r="AC919" s="5"/>
      <c r="AH919" s="5"/>
      <c r="AI919" s="5"/>
    </row>
    <row r="920">
      <c r="E920" s="5"/>
      <c r="F920" s="5"/>
      <c r="G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T920" s="9"/>
      <c r="W920" s="5"/>
      <c r="AB920" s="5"/>
      <c r="AC920" s="5"/>
      <c r="AH920" s="5"/>
      <c r="AI920" s="5"/>
    </row>
    <row r="921">
      <c r="E921" s="5"/>
      <c r="F921" s="5"/>
      <c r="G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T921" s="9"/>
      <c r="W921" s="5"/>
      <c r="AB921" s="5"/>
      <c r="AC921" s="5"/>
      <c r="AH921" s="5"/>
      <c r="AI921" s="5"/>
    </row>
    <row r="922">
      <c r="E922" s="5"/>
      <c r="F922" s="5"/>
      <c r="G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T922" s="9"/>
      <c r="W922" s="5"/>
      <c r="AB922" s="5"/>
      <c r="AC922" s="5"/>
      <c r="AH922" s="5"/>
      <c r="AI922" s="5"/>
    </row>
    <row r="923">
      <c r="E923" s="5"/>
      <c r="F923" s="5"/>
      <c r="G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T923" s="9"/>
      <c r="W923" s="5"/>
      <c r="AB923" s="5"/>
      <c r="AC923" s="5"/>
      <c r="AH923" s="5"/>
      <c r="AI923" s="5"/>
    </row>
    <row r="924">
      <c r="E924" s="5"/>
      <c r="F924" s="5"/>
      <c r="G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T924" s="9"/>
      <c r="W924" s="5"/>
      <c r="AB924" s="5"/>
      <c r="AC924" s="5"/>
      <c r="AH924" s="5"/>
      <c r="AI924" s="5"/>
    </row>
    <row r="925">
      <c r="E925" s="5"/>
      <c r="F925" s="5"/>
      <c r="G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T925" s="9"/>
      <c r="W925" s="5"/>
      <c r="AB925" s="5"/>
      <c r="AC925" s="5"/>
      <c r="AH925" s="5"/>
      <c r="AI925" s="5"/>
    </row>
    <row r="926">
      <c r="E926" s="5"/>
      <c r="F926" s="5"/>
      <c r="G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T926" s="9"/>
      <c r="W926" s="5"/>
      <c r="AB926" s="5"/>
      <c r="AC926" s="5"/>
      <c r="AH926" s="5"/>
      <c r="AI926" s="5"/>
    </row>
    <row r="927">
      <c r="E927" s="5"/>
      <c r="F927" s="5"/>
      <c r="G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T927" s="9"/>
      <c r="W927" s="5"/>
      <c r="AB927" s="5"/>
      <c r="AC927" s="5"/>
      <c r="AH927" s="5"/>
      <c r="AI927" s="5"/>
    </row>
    <row r="928">
      <c r="E928" s="5"/>
      <c r="F928" s="5"/>
      <c r="G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T928" s="9"/>
      <c r="W928" s="5"/>
      <c r="AB928" s="5"/>
      <c r="AC928" s="5"/>
      <c r="AH928" s="5"/>
      <c r="AI928" s="5"/>
    </row>
    <row r="929">
      <c r="E929" s="5"/>
      <c r="F929" s="5"/>
      <c r="G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T929" s="9"/>
      <c r="W929" s="5"/>
      <c r="AB929" s="5"/>
      <c r="AC929" s="5"/>
      <c r="AH929" s="5"/>
      <c r="AI929" s="5"/>
    </row>
    <row r="930">
      <c r="E930" s="5"/>
      <c r="F930" s="5"/>
      <c r="G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T930" s="9"/>
      <c r="W930" s="5"/>
      <c r="AB930" s="5"/>
      <c r="AC930" s="5"/>
      <c r="AH930" s="5"/>
      <c r="AI930" s="5"/>
    </row>
    <row r="931">
      <c r="E931" s="5"/>
      <c r="F931" s="5"/>
      <c r="G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T931" s="9"/>
      <c r="W931" s="5"/>
      <c r="AB931" s="5"/>
      <c r="AC931" s="5"/>
      <c r="AH931" s="5"/>
      <c r="AI931" s="5"/>
    </row>
    <row r="932">
      <c r="E932" s="5"/>
      <c r="F932" s="5"/>
      <c r="G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T932" s="9"/>
      <c r="W932" s="5"/>
      <c r="AB932" s="5"/>
      <c r="AC932" s="5"/>
      <c r="AH932" s="5"/>
      <c r="AI932" s="5"/>
    </row>
    <row r="933">
      <c r="E933" s="5"/>
      <c r="F933" s="5"/>
      <c r="G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T933" s="9"/>
      <c r="W933" s="5"/>
      <c r="AB933" s="5"/>
      <c r="AC933" s="5"/>
      <c r="AH933" s="5"/>
      <c r="AI933" s="5"/>
    </row>
    <row r="934">
      <c r="E934" s="5"/>
      <c r="F934" s="5"/>
      <c r="G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T934" s="9"/>
      <c r="W934" s="5"/>
      <c r="AB934" s="5"/>
      <c r="AC934" s="5"/>
      <c r="AH934" s="5"/>
      <c r="AI934" s="5"/>
    </row>
    <row r="935">
      <c r="E935" s="5"/>
      <c r="F935" s="5"/>
      <c r="G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T935" s="9"/>
      <c r="W935" s="5"/>
      <c r="AB935" s="5"/>
      <c r="AC935" s="5"/>
      <c r="AH935" s="5"/>
      <c r="AI935" s="5"/>
    </row>
    <row r="936">
      <c r="E936" s="5"/>
      <c r="F936" s="5"/>
      <c r="G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T936" s="9"/>
      <c r="W936" s="5"/>
      <c r="AB936" s="5"/>
      <c r="AC936" s="5"/>
      <c r="AH936" s="5"/>
      <c r="AI936" s="5"/>
    </row>
    <row r="937">
      <c r="E937" s="5"/>
      <c r="F937" s="5"/>
      <c r="G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T937" s="9"/>
      <c r="W937" s="5"/>
      <c r="AB937" s="5"/>
      <c r="AC937" s="5"/>
      <c r="AH937" s="5"/>
      <c r="AI937" s="5"/>
    </row>
    <row r="938">
      <c r="E938" s="5"/>
      <c r="F938" s="5"/>
      <c r="G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T938" s="9"/>
      <c r="W938" s="5"/>
      <c r="AB938" s="5"/>
      <c r="AC938" s="5"/>
      <c r="AH938" s="5"/>
      <c r="AI938" s="5"/>
    </row>
    <row r="939">
      <c r="E939" s="5"/>
      <c r="F939" s="5"/>
      <c r="G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T939" s="9"/>
      <c r="W939" s="5"/>
      <c r="AB939" s="5"/>
      <c r="AC939" s="5"/>
      <c r="AH939" s="5"/>
      <c r="AI939" s="5"/>
    </row>
    <row r="940">
      <c r="E940" s="5"/>
      <c r="F940" s="5"/>
      <c r="G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T940" s="9"/>
      <c r="W940" s="5"/>
      <c r="AB940" s="5"/>
      <c r="AC940" s="5"/>
      <c r="AH940" s="5"/>
      <c r="AI940" s="5"/>
    </row>
    <row r="941">
      <c r="E941" s="5"/>
      <c r="F941" s="5"/>
      <c r="G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T941" s="9"/>
      <c r="W941" s="5"/>
      <c r="AB941" s="5"/>
      <c r="AC941" s="5"/>
      <c r="AH941" s="5"/>
      <c r="AI941" s="5"/>
    </row>
    <row r="942">
      <c r="E942" s="5"/>
      <c r="F942" s="5"/>
      <c r="G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T942" s="9"/>
      <c r="W942" s="5"/>
      <c r="AB942" s="5"/>
      <c r="AC942" s="5"/>
      <c r="AH942" s="5"/>
      <c r="AI942" s="5"/>
    </row>
    <row r="943">
      <c r="E943" s="5"/>
      <c r="F943" s="5"/>
      <c r="G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T943" s="9"/>
      <c r="W943" s="5"/>
      <c r="AB943" s="5"/>
      <c r="AC943" s="5"/>
      <c r="AH943" s="5"/>
      <c r="AI943" s="5"/>
    </row>
    <row r="944">
      <c r="E944" s="5"/>
      <c r="F944" s="5"/>
      <c r="G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T944" s="9"/>
      <c r="W944" s="5"/>
      <c r="AB944" s="5"/>
      <c r="AC944" s="5"/>
      <c r="AH944" s="5"/>
      <c r="AI944" s="5"/>
    </row>
    <row r="945">
      <c r="E945" s="5"/>
      <c r="F945" s="5"/>
      <c r="G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T945" s="9"/>
      <c r="W945" s="5"/>
      <c r="AB945" s="5"/>
      <c r="AC945" s="5"/>
      <c r="AH945" s="5"/>
      <c r="AI945" s="5"/>
    </row>
    <row r="946">
      <c r="E946" s="5"/>
      <c r="F946" s="5"/>
      <c r="G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T946" s="9"/>
      <c r="W946" s="5"/>
      <c r="AB946" s="5"/>
      <c r="AC946" s="5"/>
      <c r="AH946" s="5"/>
      <c r="AI946" s="5"/>
    </row>
    <row r="947">
      <c r="E947" s="5"/>
      <c r="F947" s="5"/>
      <c r="G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T947" s="9"/>
      <c r="W947" s="5"/>
      <c r="AB947" s="5"/>
      <c r="AC947" s="5"/>
      <c r="AH947" s="5"/>
      <c r="AI947" s="5"/>
    </row>
    <row r="948">
      <c r="E948" s="5"/>
      <c r="F948" s="5"/>
      <c r="G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T948" s="9"/>
      <c r="W948" s="5"/>
      <c r="AB948" s="5"/>
      <c r="AC948" s="5"/>
      <c r="AH948" s="5"/>
      <c r="AI948" s="5"/>
    </row>
    <row r="949">
      <c r="E949" s="5"/>
      <c r="F949" s="5"/>
      <c r="G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T949" s="9"/>
      <c r="W949" s="5"/>
      <c r="AB949" s="5"/>
      <c r="AC949" s="5"/>
      <c r="AH949" s="5"/>
      <c r="AI949" s="5"/>
    </row>
    <row r="950">
      <c r="E950" s="5"/>
      <c r="F950" s="5"/>
      <c r="G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T950" s="9"/>
      <c r="W950" s="5"/>
      <c r="AB950" s="5"/>
      <c r="AC950" s="5"/>
      <c r="AH950" s="5"/>
      <c r="AI950" s="5"/>
    </row>
    <row r="951">
      <c r="E951" s="5"/>
      <c r="F951" s="5"/>
      <c r="G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T951" s="9"/>
      <c r="W951" s="5"/>
      <c r="AB951" s="5"/>
      <c r="AC951" s="5"/>
      <c r="AH951" s="5"/>
      <c r="AI951" s="5"/>
    </row>
    <row r="952">
      <c r="E952" s="5"/>
      <c r="F952" s="5"/>
      <c r="G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T952" s="9"/>
      <c r="W952" s="5"/>
      <c r="AB952" s="5"/>
      <c r="AC952" s="5"/>
      <c r="AH952" s="5"/>
      <c r="AI952" s="5"/>
    </row>
    <row r="953">
      <c r="E953" s="5"/>
      <c r="F953" s="5"/>
      <c r="G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T953" s="9"/>
      <c r="W953" s="5"/>
      <c r="AB953" s="5"/>
      <c r="AC953" s="5"/>
      <c r="AH953" s="5"/>
      <c r="AI953" s="5"/>
    </row>
    <row r="954">
      <c r="E954" s="5"/>
      <c r="F954" s="5"/>
      <c r="G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T954" s="9"/>
      <c r="W954" s="5"/>
      <c r="AB954" s="5"/>
      <c r="AC954" s="5"/>
      <c r="AH954" s="5"/>
      <c r="AI954" s="5"/>
    </row>
    <row r="955">
      <c r="E955" s="5"/>
      <c r="F955" s="5"/>
      <c r="G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T955" s="9"/>
      <c r="W955" s="5"/>
      <c r="AB955" s="5"/>
      <c r="AC955" s="5"/>
      <c r="AH955" s="5"/>
      <c r="AI955" s="5"/>
    </row>
    <row r="956">
      <c r="E956" s="5"/>
      <c r="F956" s="5"/>
      <c r="G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T956" s="9"/>
      <c r="W956" s="5"/>
      <c r="AB956" s="5"/>
      <c r="AC956" s="5"/>
      <c r="AH956" s="5"/>
      <c r="AI956" s="5"/>
    </row>
    <row r="957">
      <c r="E957" s="5"/>
      <c r="F957" s="5"/>
      <c r="G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T957" s="9"/>
      <c r="W957" s="5"/>
      <c r="AB957" s="5"/>
      <c r="AC957" s="5"/>
      <c r="AH957" s="5"/>
      <c r="AI957" s="5"/>
    </row>
    <row r="958">
      <c r="E958" s="5"/>
      <c r="F958" s="5"/>
      <c r="G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T958" s="9"/>
      <c r="W958" s="5"/>
      <c r="AB958" s="5"/>
      <c r="AC958" s="5"/>
      <c r="AH958" s="5"/>
      <c r="AI958" s="5"/>
    </row>
    <row r="959">
      <c r="E959" s="5"/>
      <c r="F959" s="5"/>
      <c r="G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T959" s="9"/>
      <c r="W959" s="5"/>
      <c r="AB959" s="5"/>
      <c r="AC959" s="5"/>
      <c r="AH959" s="5"/>
      <c r="AI959" s="5"/>
    </row>
    <row r="960">
      <c r="E960" s="5"/>
      <c r="F960" s="5"/>
      <c r="G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T960" s="9"/>
      <c r="W960" s="5"/>
      <c r="AB960" s="5"/>
      <c r="AC960" s="5"/>
      <c r="AH960" s="5"/>
      <c r="AI960" s="5"/>
    </row>
    <row r="961">
      <c r="E961" s="5"/>
      <c r="F961" s="5"/>
      <c r="G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T961" s="9"/>
      <c r="W961" s="5"/>
      <c r="AB961" s="5"/>
      <c r="AC961" s="5"/>
      <c r="AH961" s="5"/>
      <c r="AI961" s="5"/>
    </row>
    <row r="962">
      <c r="E962" s="5"/>
      <c r="F962" s="5"/>
      <c r="G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T962" s="9"/>
      <c r="W962" s="5"/>
      <c r="AB962" s="5"/>
      <c r="AC962" s="5"/>
      <c r="AH962" s="5"/>
      <c r="AI962" s="5"/>
    </row>
    <row r="963">
      <c r="E963" s="5"/>
      <c r="F963" s="5"/>
      <c r="G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T963" s="9"/>
      <c r="W963" s="5"/>
      <c r="AB963" s="5"/>
      <c r="AC963" s="5"/>
      <c r="AH963" s="5"/>
      <c r="AI963" s="5"/>
    </row>
    <row r="964">
      <c r="E964" s="5"/>
      <c r="F964" s="5"/>
      <c r="G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T964" s="9"/>
      <c r="W964" s="5"/>
      <c r="AB964" s="5"/>
      <c r="AC964" s="5"/>
      <c r="AH964" s="5"/>
      <c r="AI964" s="5"/>
    </row>
    <row r="965">
      <c r="E965" s="5"/>
      <c r="F965" s="5"/>
      <c r="G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T965" s="9"/>
      <c r="W965" s="5"/>
      <c r="AB965" s="5"/>
      <c r="AC965" s="5"/>
      <c r="AH965" s="5"/>
      <c r="AI965" s="5"/>
    </row>
    <row r="966">
      <c r="E966" s="5"/>
      <c r="F966" s="5"/>
      <c r="G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T966" s="9"/>
      <c r="W966" s="5"/>
      <c r="AB966" s="5"/>
      <c r="AC966" s="5"/>
      <c r="AH966" s="5"/>
      <c r="AI966" s="5"/>
    </row>
    <row r="967">
      <c r="E967" s="5"/>
      <c r="F967" s="5"/>
      <c r="G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T967" s="9"/>
      <c r="W967" s="5"/>
      <c r="AB967" s="5"/>
      <c r="AC967" s="5"/>
      <c r="AH967" s="5"/>
      <c r="AI967" s="5"/>
    </row>
    <row r="968">
      <c r="E968" s="5"/>
      <c r="F968" s="5"/>
      <c r="G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T968" s="9"/>
      <c r="W968" s="5"/>
      <c r="AB968" s="5"/>
      <c r="AC968" s="5"/>
      <c r="AH968" s="5"/>
      <c r="AI968" s="5"/>
    </row>
    <row r="969">
      <c r="E969" s="5"/>
      <c r="F969" s="5"/>
      <c r="G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T969" s="9"/>
      <c r="W969" s="5"/>
      <c r="AB969" s="5"/>
      <c r="AC969" s="5"/>
      <c r="AH969" s="5"/>
      <c r="AI969" s="5"/>
    </row>
    <row r="970">
      <c r="E970" s="5"/>
      <c r="F970" s="5"/>
      <c r="G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T970" s="9"/>
      <c r="W970" s="5"/>
      <c r="AB970" s="5"/>
      <c r="AC970" s="5"/>
      <c r="AH970" s="5"/>
      <c r="AI970" s="5"/>
    </row>
    <row r="971">
      <c r="E971" s="5"/>
      <c r="F971" s="5"/>
      <c r="G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T971" s="9"/>
      <c r="W971" s="5"/>
      <c r="AB971" s="5"/>
      <c r="AC971" s="5"/>
      <c r="AH971" s="5"/>
      <c r="AI971" s="5"/>
    </row>
    <row r="972">
      <c r="E972" s="5"/>
      <c r="F972" s="5"/>
      <c r="G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T972" s="9"/>
      <c r="W972" s="5"/>
      <c r="AB972" s="5"/>
      <c r="AC972" s="5"/>
      <c r="AH972" s="5"/>
      <c r="AI972" s="5"/>
    </row>
    <row r="973">
      <c r="E973" s="5"/>
      <c r="F973" s="5"/>
      <c r="G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T973" s="9"/>
      <c r="W973" s="5"/>
      <c r="AB973" s="5"/>
      <c r="AC973" s="5"/>
      <c r="AH973" s="5"/>
      <c r="AI973" s="5"/>
    </row>
    <row r="974">
      <c r="E974" s="5"/>
      <c r="F974" s="5"/>
      <c r="G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T974" s="9"/>
      <c r="W974" s="5"/>
      <c r="AB974" s="5"/>
      <c r="AC974" s="5"/>
      <c r="AH974" s="5"/>
      <c r="AI974" s="5"/>
    </row>
    <row r="975">
      <c r="E975" s="5"/>
      <c r="F975" s="5"/>
      <c r="G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T975" s="9"/>
      <c r="W975" s="5"/>
      <c r="AB975" s="5"/>
      <c r="AC975" s="5"/>
      <c r="AH975" s="5"/>
      <c r="AI975" s="5"/>
    </row>
    <row r="976">
      <c r="E976" s="5"/>
      <c r="F976" s="5"/>
      <c r="G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T976" s="9"/>
      <c r="W976" s="5"/>
      <c r="AB976" s="5"/>
      <c r="AC976" s="5"/>
      <c r="AH976" s="5"/>
      <c r="AI976" s="5"/>
    </row>
    <row r="977">
      <c r="E977" s="5"/>
      <c r="F977" s="5"/>
      <c r="G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T977" s="9"/>
      <c r="W977" s="5"/>
      <c r="AB977" s="5"/>
      <c r="AC977" s="5"/>
      <c r="AH977" s="5"/>
      <c r="AI977" s="5"/>
    </row>
    <row r="978">
      <c r="E978" s="5"/>
      <c r="F978" s="5"/>
      <c r="G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T978" s="9"/>
      <c r="W978" s="5"/>
      <c r="AB978" s="5"/>
      <c r="AC978" s="5"/>
      <c r="AH978" s="5"/>
      <c r="AI978" s="5"/>
    </row>
    <row r="979">
      <c r="E979" s="5"/>
      <c r="F979" s="5"/>
      <c r="G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T979" s="9"/>
      <c r="W979" s="5"/>
      <c r="AB979" s="5"/>
      <c r="AC979" s="5"/>
      <c r="AH979" s="5"/>
      <c r="AI979" s="5"/>
    </row>
    <row r="980">
      <c r="E980" s="5"/>
      <c r="F980" s="5"/>
      <c r="G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T980" s="9"/>
      <c r="W980" s="5"/>
      <c r="AB980" s="5"/>
      <c r="AC980" s="5"/>
      <c r="AH980" s="5"/>
      <c r="AI980" s="5"/>
    </row>
    <row r="981">
      <c r="E981" s="5"/>
      <c r="F981" s="5"/>
      <c r="G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T981" s="9"/>
      <c r="W981" s="5"/>
      <c r="AB981" s="5"/>
      <c r="AC981" s="5"/>
      <c r="AH981" s="5"/>
      <c r="AI981" s="5"/>
    </row>
    <row r="982">
      <c r="E982" s="5"/>
      <c r="F982" s="5"/>
      <c r="G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T982" s="9"/>
      <c r="W982" s="5"/>
      <c r="AB982" s="5"/>
      <c r="AC982" s="5"/>
      <c r="AH982" s="5"/>
      <c r="AI982" s="5"/>
    </row>
    <row r="983">
      <c r="E983" s="5"/>
      <c r="F983" s="5"/>
      <c r="G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T983" s="9"/>
      <c r="W983" s="5"/>
      <c r="AB983" s="5"/>
      <c r="AC983" s="5"/>
      <c r="AH983" s="5"/>
      <c r="AI983" s="5"/>
    </row>
    <row r="984">
      <c r="E984" s="5"/>
      <c r="F984" s="5"/>
      <c r="G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T984" s="9"/>
      <c r="W984" s="5"/>
      <c r="AB984" s="5"/>
      <c r="AC984" s="5"/>
      <c r="AH984" s="5"/>
      <c r="AI984" s="5"/>
    </row>
    <row r="985">
      <c r="E985" s="5"/>
      <c r="F985" s="5"/>
      <c r="G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T985" s="9"/>
      <c r="W985" s="5"/>
      <c r="AB985" s="5"/>
      <c r="AC985" s="5"/>
      <c r="AH985" s="5"/>
      <c r="AI985" s="5"/>
    </row>
    <row r="986">
      <c r="E986" s="5"/>
      <c r="F986" s="5"/>
      <c r="G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T986" s="9"/>
      <c r="W986" s="5"/>
      <c r="AB986" s="5"/>
      <c r="AC986" s="5"/>
      <c r="AH986" s="5"/>
      <c r="AI986" s="5"/>
    </row>
    <row r="987">
      <c r="E987" s="5"/>
      <c r="F987" s="5"/>
      <c r="G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T987" s="9"/>
      <c r="W987" s="5"/>
      <c r="AB987" s="5"/>
      <c r="AC987" s="5"/>
      <c r="AH987" s="5"/>
      <c r="AI987" s="5"/>
    </row>
    <row r="988">
      <c r="E988" s="5"/>
      <c r="F988" s="5"/>
      <c r="G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T988" s="9"/>
      <c r="W988" s="5"/>
      <c r="AB988" s="5"/>
      <c r="AC988" s="5"/>
      <c r="AH988" s="5"/>
      <c r="AI988" s="5"/>
    </row>
    <row r="989">
      <c r="E989" s="5"/>
      <c r="F989" s="5"/>
      <c r="G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T989" s="9"/>
      <c r="W989" s="5"/>
      <c r="AB989" s="5"/>
      <c r="AC989" s="5"/>
      <c r="AH989" s="5"/>
      <c r="AI989" s="5"/>
    </row>
    <row r="990">
      <c r="E990" s="5"/>
      <c r="F990" s="5"/>
      <c r="G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T990" s="9"/>
      <c r="W990" s="5"/>
      <c r="AB990" s="5"/>
      <c r="AC990" s="5"/>
      <c r="AH990" s="5"/>
      <c r="AI990" s="5"/>
    </row>
    <row r="991">
      <c r="E991" s="5"/>
      <c r="F991" s="5"/>
      <c r="G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T991" s="9"/>
      <c r="W991" s="5"/>
      <c r="AB991" s="5"/>
      <c r="AC991" s="5"/>
      <c r="AH991" s="5"/>
      <c r="AI991" s="5"/>
    </row>
    <row r="992">
      <c r="E992" s="5"/>
      <c r="F992" s="5"/>
      <c r="G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T992" s="9"/>
      <c r="W992" s="5"/>
      <c r="AB992" s="5"/>
      <c r="AC992" s="5"/>
      <c r="AH992" s="5"/>
      <c r="AI992" s="5"/>
    </row>
    <row r="993">
      <c r="E993" s="5"/>
      <c r="F993" s="5"/>
      <c r="G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T993" s="9"/>
      <c r="W993" s="5"/>
      <c r="AB993" s="5"/>
      <c r="AC993" s="5"/>
      <c r="AH993" s="5"/>
      <c r="AI993" s="5"/>
    </row>
    <row r="994">
      <c r="E994" s="5"/>
      <c r="F994" s="5"/>
      <c r="G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T994" s="9"/>
      <c r="W994" s="5"/>
      <c r="AB994" s="5"/>
      <c r="AC994" s="5"/>
      <c r="AH994" s="5"/>
      <c r="AI994" s="5"/>
    </row>
    <row r="995">
      <c r="E995" s="5"/>
      <c r="F995" s="5"/>
      <c r="G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T995" s="9"/>
      <c r="W995" s="5"/>
      <c r="AB995" s="5"/>
      <c r="AC995" s="5"/>
      <c r="AH995" s="5"/>
      <c r="AI995" s="5"/>
    </row>
    <row r="996">
      <c r="E996" s="5"/>
      <c r="F996" s="5"/>
      <c r="G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T996" s="9"/>
      <c r="W996" s="5"/>
      <c r="AB996" s="5"/>
      <c r="AC996" s="5"/>
      <c r="AH996" s="5"/>
      <c r="AI996" s="5"/>
    </row>
    <row r="997">
      <c r="E997" s="5"/>
      <c r="F997" s="5"/>
      <c r="G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T997" s="9"/>
      <c r="W997" s="5"/>
      <c r="AB997" s="5"/>
      <c r="AC997" s="5"/>
      <c r="AH997" s="5"/>
      <c r="AI997" s="5"/>
    </row>
    <row r="998">
      <c r="E998" s="5"/>
      <c r="F998" s="5"/>
      <c r="G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T998" s="9"/>
      <c r="W998" s="5"/>
      <c r="AB998" s="5"/>
      <c r="AC998" s="5"/>
      <c r="AH998" s="5"/>
      <c r="AI998" s="5"/>
    </row>
    <row r="999">
      <c r="E999" s="5"/>
      <c r="F999" s="5"/>
      <c r="G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T999" s="9"/>
      <c r="W999" s="5"/>
      <c r="AB999" s="5"/>
      <c r="AC999" s="5"/>
      <c r="AH999" s="5"/>
      <c r="AI999" s="5"/>
    </row>
    <row r="1000">
      <c r="E1000" s="5"/>
      <c r="F1000" s="5"/>
      <c r="G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T1000" s="9"/>
      <c r="W1000" s="5"/>
      <c r="AB1000" s="5"/>
      <c r="AC1000" s="5"/>
      <c r="AH1000" s="5"/>
      <c r="AI1000" s="5"/>
    </row>
  </sheetData>
  <mergeCells count="21">
    <mergeCell ref="B2:R2"/>
    <mergeCell ref="V2:Z3"/>
    <mergeCell ref="AB2:AF3"/>
    <mergeCell ref="AH2:AL3"/>
    <mergeCell ref="B4:C4"/>
    <mergeCell ref="E4:G4"/>
    <mergeCell ref="I4:R4"/>
    <mergeCell ref="X5:Z5"/>
    <mergeCell ref="X6:Z6"/>
    <mergeCell ref="AD6:AF6"/>
    <mergeCell ref="AJ6:AL6"/>
    <mergeCell ref="X7:Z7"/>
    <mergeCell ref="AD7:AF7"/>
    <mergeCell ref="AJ7:AL7"/>
    <mergeCell ref="I5:J5"/>
    <mergeCell ref="K5:L5"/>
    <mergeCell ref="M5:N5"/>
    <mergeCell ref="O5:P5"/>
    <mergeCell ref="Q5:R5"/>
    <mergeCell ref="AD5:AF5"/>
    <mergeCell ref="AJ5:AL5"/>
  </mergeCells>
  <conditionalFormatting sqref="F1 F3:F1000">
    <cfRule type="containsText" dxfId="4" priority="1" operator="containsText" text="Not Found">
      <formula>NOT(ISERROR(SEARCH(("Not Found"),(F1))))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4" max="4" width="14.0"/>
    <col customWidth="1" min="5" max="5" width="18.25"/>
    <col customWidth="1" min="6" max="6" width="17.38"/>
  </cols>
  <sheetData>
    <row r="1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I1" s="14" t="s">
        <v>118</v>
      </c>
      <c r="L1" s="5"/>
    </row>
    <row r="2">
      <c r="A2" s="41" t="s">
        <v>119</v>
      </c>
      <c r="B2" s="3" t="str">
        <f t="shared" ref="B2:B49" si="1">INDIRECT("Instructions!T" &amp; RANDBETWEEN(5,9))</f>
        <v/>
      </c>
      <c r="C2" s="3" t="str">
        <f t="shared" ref="C2:C49" si="2">INDIRECT("Instructions!S" &amp; RANDBETWEEN(5,10))</f>
        <v/>
      </c>
      <c r="D2" s="3">
        <v>8.0</v>
      </c>
      <c r="E2" s="3">
        <v>5.0</v>
      </c>
      <c r="F2" s="3">
        <v>5.0</v>
      </c>
      <c r="G2" s="3">
        <v>2.0</v>
      </c>
    </row>
    <row r="3">
      <c r="A3" s="41" t="s">
        <v>120</v>
      </c>
      <c r="B3" s="3" t="str">
        <f t="shared" si="1"/>
        <v/>
      </c>
      <c r="C3" s="3" t="str">
        <f t="shared" si="2"/>
        <v/>
      </c>
      <c r="D3" s="3">
        <v>5.0</v>
      </c>
      <c r="E3" s="3">
        <v>4.0</v>
      </c>
      <c r="F3" s="3">
        <v>2.0</v>
      </c>
      <c r="G3" s="3">
        <v>1.0</v>
      </c>
    </row>
    <row r="4">
      <c r="A4" s="41" t="s">
        <v>121</v>
      </c>
      <c r="B4" s="3" t="str">
        <f t="shared" si="1"/>
        <v/>
      </c>
      <c r="C4" s="3" t="str">
        <f t="shared" si="2"/>
        <v/>
      </c>
      <c r="D4" s="3">
        <v>7.0</v>
      </c>
      <c r="E4" s="3">
        <v>6.0</v>
      </c>
      <c r="F4" s="3">
        <v>4.0</v>
      </c>
      <c r="G4" s="3">
        <v>2.0</v>
      </c>
    </row>
    <row r="5">
      <c r="A5" s="41" t="s">
        <v>122</v>
      </c>
      <c r="B5" s="3" t="str">
        <f t="shared" si="1"/>
        <v/>
      </c>
      <c r="C5" s="3" t="str">
        <f t="shared" si="2"/>
        <v/>
      </c>
      <c r="D5" s="3">
        <v>2.0</v>
      </c>
      <c r="E5" s="3">
        <v>3.0</v>
      </c>
      <c r="F5" s="3">
        <v>7.0</v>
      </c>
      <c r="G5" s="3">
        <v>7.0</v>
      </c>
    </row>
    <row r="6">
      <c r="A6" s="41" t="s">
        <v>123</v>
      </c>
      <c r="B6" s="3" t="str">
        <f t="shared" si="1"/>
        <v/>
      </c>
      <c r="C6" s="3" t="str">
        <f t="shared" si="2"/>
        <v/>
      </c>
      <c r="D6" s="5">
        <f t="shared" ref="D6:G6" si="3">RANDBETWEEN(1, 10)</f>
        <v>5</v>
      </c>
      <c r="E6" s="5">
        <f t="shared" si="3"/>
        <v>4</v>
      </c>
      <c r="F6" s="5">
        <f t="shared" si="3"/>
        <v>3</v>
      </c>
      <c r="G6" s="5">
        <f t="shared" si="3"/>
        <v>2</v>
      </c>
    </row>
    <row r="7">
      <c r="A7" s="41" t="s">
        <v>124</v>
      </c>
      <c r="B7" s="3" t="str">
        <f t="shared" si="1"/>
        <v/>
      </c>
      <c r="C7" s="3" t="str">
        <f t="shared" si="2"/>
        <v/>
      </c>
      <c r="D7" s="5">
        <f t="shared" ref="D7:G7" si="4">RANDBETWEEN(1, 10)</f>
        <v>3</v>
      </c>
      <c r="E7" s="5">
        <f t="shared" si="4"/>
        <v>6</v>
      </c>
      <c r="F7" s="5">
        <f t="shared" si="4"/>
        <v>4</v>
      </c>
      <c r="G7" s="5">
        <f t="shared" si="4"/>
        <v>3</v>
      </c>
    </row>
    <row r="8">
      <c r="A8" s="41" t="s">
        <v>125</v>
      </c>
      <c r="B8" s="3" t="str">
        <f t="shared" si="1"/>
        <v/>
      </c>
      <c r="C8" s="3" t="str">
        <f t="shared" si="2"/>
        <v/>
      </c>
      <c r="D8" s="5">
        <f t="shared" ref="D8:G8" si="5">RANDBETWEEN(1, 10)</f>
        <v>4</v>
      </c>
      <c r="E8" s="5">
        <f t="shared" si="5"/>
        <v>5</v>
      </c>
      <c r="F8" s="5">
        <f t="shared" si="5"/>
        <v>7</v>
      </c>
      <c r="G8" s="5">
        <f t="shared" si="5"/>
        <v>5</v>
      </c>
      <c r="L8" s="5"/>
    </row>
    <row r="9">
      <c r="A9" s="41" t="s">
        <v>126</v>
      </c>
      <c r="B9" s="3" t="str">
        <f t="shared" si="1"/>
        <v/>
      </c>
      <c r="C9" s="3" t="str">
        <f t="shared" si="2"/>
        <v/>
      </c>
      <c r="D9" s="5">
        <f t="shared" ref="D9:G9" si="6">RANDBETWEEN(1, 10)</f>
        <v>2</v>
      </c>
      <c r="E9" s="5">
        <f t="shared" si="6"/>
        <v>2</v>
      </c>
      <c r="F9" s="5">
        <f t="shared" si="6"/>
        <v>9</v>
      </c>
      <c r="G9" s="5">
        <f t="shared" si="6"/>
        <v>1</v>
      </c>
      <c r="L9" s="5"/>
    </row>
    <row r="10">
      <c r="A10" s="41" t="s">
        <v>127</v>
      </c>
      <c r="B10" s="3" t="str">
        <f t="shared" si="1"/>
        <v/>
      </c>
      <c r="C10" s="3" t="str">
        <f t="shared" si="2"/>
        <v/>
      </c>
      <c r="D10" s="5">
        <f t="shared" ref="D10:G10" si="7">RANDBETWEEN(1, 10)</f>
        <v>5</v>
      </c>
      <c r="E10" s="5">
        <f t="shared" si="7"/>
        <v>9</v>
      </c>
      <c r="F10" s="5">
        <f t="shared" si="7"/>
        <v>6</v>
      </c>
      <c r="G10" s="5">
        <f t="shared" si="7"/>
        <v>4</v>
      </c>
      <c r="L10" s="5"/>
    </row>
    <row r="11">
      <c r="A11" s="41" t="s">
        <v>128</v>
      </c>
      <c r="B11" s="3" t="str">
        <f t="shared" si="1"/>
        <v/>
      </c>
      <c r="C11" s="3" t="str">
        <f t="shared" si="2"/>
        <v/>
      </c>
      <c r="D11" s="5">
        <f t="shared" ref="D11:G11" si="8">RANDBETWEEN(1, 10)</f>
        <v>1</v>
      </c>
      <c r="E11" s="5">
        <f t="shared" si="8"/>
        <v>3</v>
      </c>
      <c r="F11" s="5">
        <f t="shared" si="8"/>
        <v>4</v>
      </c>
      <c r="G11" s="5">
        <f t="shared" si="8"/>
        <v>8</v>
      </c>
      <c r="L11" s="5"/>
    </row>
    <row r="12">
      <c r="A12" s="41" t="s">
        <v>129</v>
      </c>
      <c r="B12" s="3" t="str">
        <f t="shared" si="1"/>
        <v/>
      </c>
      <c r="C12" s="3" t="str">
        <f t="shared" si="2"/>
        <v/>
      </c>
      <c r="D12" s="5">
        <f t="shared" ref="D12:G12" si="9">RANDBETWEEN(1, 10)</f>
        <v>7</v>
      </c>
      <c r="E12" s="5">
        <f t="shared" si="9"/>
        <v>8</v>
      </c>
      <c r="F12" s="5">
        <f t="shared" si="9"/>
        <v>2</v>
      </c>
      <c r="G12" s="5">
        <f t="shared" si="9"/>
        <v>10</v>
      </c>
      <c r="L12" s="5"/>
    </row>
    <row r="13">
      <c r="A13" s="41" t="s">
        <v>130</v>
      </c>
      <c r="B13" s="3" t="str">
        <f t="shared" si="1"/>
        <v/>
      </c>
      <c r="C13" s="3" t="str">
        <f t="shared" si="2"/>
        <v/>
      </c>
      <c r="D13" s="5">
        <f t="shared" ref="D13:G13" si="10">RANDBETWEEN(1, 10)</f>
        <v>8</v>
      </c>
      <c r="E13" s="5">
        <f t="shared" si="10"/>
        <v>2</v>
      </c>
      <c r="F13" s="5">
        <f t="shared" si="10"/>
        <v>4</v>
      </c>
      <c r="G13" s="5">
        <f t="shared" si="10"/>
        <v>9</v>
      </c>
      <c r="L13" s="5"/>
    </row>
    <row r="14">
      <c r="A14" s="41" t="s">
        <v>131</v>
      </c>
      <c r="B14" s="3" t="str">
        <f t="shared" si="1"/>
        <v/>
      </c>
      <c r="C14" s="3" t="str">
        <f t="shared" si="2"/>
        <v/>
      </c>
      <c r="D14" s="5">
        <f t="shared" ref="D14:G14" si="11">RANDBETWEEN(1, 10)</f>
        <v>9</v>
      </c>
      <c r="E14" s="5">
        <f t="shared" si="11"/>
        <v>1</v>
      </c>
      <c r="F14" s="5">
        <f t="shared" si="11"/>
        <v>5</v>
      </c>
      <c r="G14" s="5">
        <f t="shared" si="11"/>
        <v>6</v>
      </c>
      <c r="L14" s="5"/>
    </row>
    <row r="15">
      <c r="A15" s="41" t="s">
        <v>132</v>
      </c>
      <c r="B15" s="3" t="str">
        <f t="shared" si="1"/>
        <v/>
      </c>
      <c r="C15" s="3" t="str">
        <f t="shared" si="2"/>
        <v/>
      </c>
      <c r="D15" s="5">
        <f t="shared" ref="D15:G15" si="12">RANDBETWEEN(1, 10)</f>
        <v>1</v>
      </c>
      <c r="E15" s="5">
        <f t="shared" si="12"/>
        <v>7</v>
      </c>
      <c r="F15" s="5">
        <f t="shared" si="12"/>
        <v>4</v>
      </c>
      <c r="G15" s="5">
        <f t="shared" si="12"/>
        <v>3</v>
      </c>
      <c r="L15" s="5"/>
    </row>
    <row r="16">
      <c r="A16" s="41" t="s">
        <v>133</v>
      </c>
      <c r="B16" s="3" t="str">
        <f t="shared" si="1"/>
        <v/>
      </c>
      <c r="C16" s="3" t="str">
        <f t="shared" si="2"/>
        <v/>
      </c>
      <c r="D16" s="5">
        <f t="shared" ref="D16:G16" si="13">RANDBETWEEN(1, 10)</f>
        <v>1</v>
      </c>
      <c r="E16" s="5">
        <f t="shared" si="13"/>
        <v>2</v>
      </c>
      <c r="F16" s="5">
        <f t="shared" si="13"/>
        <v>9</v>
      </c>
      <c r="G16" s="5">
        <f t="shared" si="13"/>
        <v>9</v>
      </c>
      <c r="L16" s="5"/>
    </row>
    <row r="17">
      <c r="A17" s="41" t="s">
        <v>134</v>
      </c>
      <c r="B17" s="3" t="str">
        <f t="shared" si="1"/>
        <v/>
      </c>
      <c r="C17" s="3" t="str">
        <f t="shared" si="2"/>
        <v/>
      </c>
      <c r="D17" s="5">
        <f t="shared" ref="D17:G17" si="14">RANDBETWEEN(1, 10)</f>
        <v>9</v>
      </c>
      <c r="E17" s="5">
        <f t="shared" si="14"/>
        <v>6</v>
      </c>
      <c r="F17" s="5">
        <f t="shared" si="14"/>
        <v>9</v>
      </c>
      <c r="G17" s="5">
        <f t="shared" si="14"/>
        <v>9</v>
      </c>
      <c r="L17" s="5"/>
    </row>
    <row r="18">
      <c r="A18" s="41" t="s">
        <v>135</v>
      </c>
      <c r="B18" s="3" t="str">
        <f t="shared" si="1"/>
        <v/>
      </c>
      <c r="C18" s="3" t="str">
        <f t="shared" si="2"/>
        <v/>
      </c>
      <c r="D18" s="5">
        <f t="shared" ref="D18:G18" si="15">RANDBETWEEN(1, 10)</f>
        <v>7</v>
      </c>
      <c r="E18" s="5">
        <f t="shared" si="15"/>
        <v>1</v>
      </c>
      <c r="F18" s="5">
        <f t="shared" si="15"/>
        <v>2</v>
      </c>
      <c r="G18" s="5">
        <f t="shared" si="15"/>
        <v>4</v>
      </c>
      <c r="L18" s="5"/>
    </row>
    <row r="19">
      <c r="A19" s="41" t="s">
        <v>136</v>
      </c>
      <c r="B19" s="3" t="str">
        <f t="shared" si="1"/>
        <v/>
      </c>
      <c r="C19" s="3" t="str">
        <f t="shared" si="2"/>
        <v/>
      </c>
      <c r="D19" s="5">
        <f t="shared" ref="D19:G19" si="16">RANDBETWEEN(1, 10)</f>
        <v>9</v>
      </c>
      <c r="E19" s="5">
        <f t="shared" si="16"/>
        <v>4</v>
      </c>
      <c r="F19" s="5">
        <f t="shared" si="16"/>
        <v>10</v>
      </c>
      <c r="G19" s="5">
        <f t="shared" si="16"/>
        <v>10</v>
      </c>
      <c r="L19" s="5"/>
    </row>
    <row r="20">
      <c r="A20" s="41" t="s">
        <v>137</v>
      </c>
      <c r="B20" s="3" t="str">
        <f t="shared" si="1"/>
        <v/>
      </c>
      <c r="C20" s="3" t="str">
        <f t="shared" si="2"/>
        <v/>
      </c>
      <c r="D20" s="5">
        <f t="shared" ref="D20:G20" si="17">RANDBETWEEN(1, 10)</f>
        <v>6</v>
      </c>
      <c r="E20" s="5">
        <f t="shared" si="17"/>
        <v>7</v>
      </c>
      <c r="F20" s="5">
        <f t="shared" si="17"/>
        <v>2</v>
      </c>
      <c r="G20" s="5">
        <f t="shared" si="17"/>
        <v>4</v>
      </c>
      <c r="L20" s="5"/>
    </row>
    <row r="21">
      <c r="A21" s="41" t="s">
        <v>138</v>
      </c>
      <c r="B21" s="3" t="str">
        <f t="shared" si="1"/>
        <v/>
      </c>
      <c r="C21" s="3" t="str">
        <f t="shared" si="2"/>
        <v/>
      </c>
      <c r="D21" s="5">
        <f t="shared" ref="D21:G21" si="18">RANDBETWEEN(1, 10)</f>
        <v>7</v>
      </c>
      <c r="E21" s="5">
        <f t="shared" si="18"/>
        <v>1</v>
      </c>
      <c r="F21" s="5">
        <f t="shared" si="18"/>
        <v>4</v>
      </c>
      <c r="G21" s="5">
        <f t="shared" si="18"/>
        <v>8</v>
      </c>
      <c r="L21" s="5"/>
    </row>
    <row r="22">
      <c r="A22" s="41" t="s">
        <v>139</v>
      </c>
      <c r="B22" s="3" t="str">
        <f t="shared" si="1"/>
        <v/>
      </c>
      <c r="C22" s="3" t="str">
        <f t="shared" si="2"/>
        <v/>
      </c>
      <c r="D22" s="5">
        <f t="shared" ref="D22:G22" si="19">RANDBETWEEN(1, 10)</f>
        <v>6</v>
      </c>
      <c r="E22" s="5">
        <f t="shared" si="19"/>
        <v>1</v>
      </c>
      <c r="F22" s="5">
        <f t="shared" si="19"/>
        <v>1</v>
      </c>
      <c r="G22" s="5">
        <f t="shared" si="19"/>
        <v>1</v>
      </c>
      <c r="L22" s="5"/>
    </row>
    <row r="23">
      <c r="A23" s="41" t="s">
        <v>140</v>
      </c>
      <c r="B23" s="3" t="str">
        <f t="shared" si="1"/>
        <v/>
      </c>
      <c r="C23" s="3" t="str">
        <f t="shared" si="2"/>
        <v/>
      </c>
      <c r="D23" s="5">
        <f t="shared" ref="D23:G23" si="20">RANDBETWEEN(1, 10)</f>
        <v>4</v>
      </c>
      <c r="E23" s="5">
        <f t="shared" si="20"/>
        <v>3</v>
      </c>
      <c r="F23" s="5">
        <f t="shared" si="20"/>
        <v>8</v>
      </c>
      <c r="G23" s="5">
        <f t="shared" si="20"/>
        <v>1</v>
      </c>
      <c r="L23" s="5"/>
    </row>
    <row r="24">
      <c r="A24" s="41" t="s">
        <v>141</v>
      </c>
      <c r="B24" s="3" t="str">
        <f t="shared" si="1"/>
        <v/>
      </c>
      <c r="C24" s="3" t="str">
        <f t="shared" si="2"/>
        <v/>
      </c>
      <c r="D24" s="5">
        <f t="shared" ref="D24:G24" si="21">RANDBETWEEN(1, 10)</f>
        <v>10</v>
      </c>
      <c r="E24" s="5">
        <f t="shared" si="21"/>
        <v>8</v>
      </c>
      <c r="F24" s="5">
        <f t="shared" si="21"/>
        <v>10</v>
      </c>
      <c r="G24" s="5">
        <f t="shared" si="21"/>
        <v>8</v>
      </c>
      <c r="L24" s="5"/>
    </row>
    <row r="25">
      <c r="A25" s="41" t="s">
        <v>142</v>
      </c>
      <c r="B25" s="3" t="str">
        <f t="shared" si="1"/>
        <v/>
      </c>
      <c r="C25" s="3" t="str">
        <f t="shared" si="2"/>
        <v/>
      </c>
      <c r="D25" s="5">
        <f t="shared" ref="D25:G25" si="22">RANDBETWEEN(1, 10)</f>
        <v>5</v>
      </c>
      <c r="E25" s="5">
        <f t="shared" si="22"/>
        <v>9</v>
      </c>
      <c r="F25" s="5">
        <f t="shared" si="22"/>
        <v>2</v>
      </c>
      <c r="G25" s="5">
        <f t="shared" si="22"/>
        <v>10</v>
      </c>
      <c r="L25" s="5"/>
    </row>
    <row r="26">
      <c r="A26" s="41" t="s">
        <v>143</v>
      </c>
      <c r="B26" s="3" t="str">
        <f t="shared" si="1"/>
        <v/>
      </c>
      <c r="C26" s="3" t="str">
        <f t="shared" si="2"/>
        <v/>
      </c>
      <c r="D26" s="5">
        <f t="shared" ref="D26:G26" si="23">RANDBETWEEN(1, 10)</f>
        <v>6</v>
      </c>
      <c r="E26" s="5">
        <f t="shared" si="23"/>
        <v>5</v>
      </c>
      <c r="F26" s="5">
        <f t="shared" si="23"/>
        <v>7</v>
      </c>
      <c r="G26" s="5">
        <f t="shared" si="23"/>
        <v>2</v>
      </c>
      <c r="L26" s="5"/>
    </row>
    <row r="27">
      <c r="A27" s="41" t="s">
        <v>144</v>
      </c>
      <c r="B27" s="3" t="str">
        <f t="shared" si="1"/>
        <v/>
      </c>
      <c r="C27" s="3" t="str">
        <f t="shared" si="2"/>
        <v/>
      </c>
      <c r="D27" s="5">
        <f t="shared" ref="D27:G27" si="24">RANDBETWEEN(1, 10)</f>
        <v>4</v>
      </c>
      <c r="E27" s="5">
        <f t="shared" si="24"/>
        <v>5</v>
      </c>
      <c r="F27" s="5">
        <f t="shared" si="24"/>
        <v>7</v>
      </c>
      <c r="G27" s="5">
        <f t="shared" si="24"/>
        <v>2</v>
      </c>
      <c r="L27" s="5"/>
    </row>
    <row r="28">
      <c r="A28" s="41" t="s">
        <v>145</v>
      </c>
      <c r="B28" s="3" t="str">
        <f t="shared" si="1"/>
        <v/>
      </c>
      <c r="C28" s="3" t="str">
        <f t="shared" si="2"/>
        <v/>
      </c>
      <c r="D28" s="5">
        <f t="shared" ref="D28:G28" si="25">RANDBETWEEN(1, 10)</f>
        <v>2</v>
      </c>
      <c r="E28" s="5">
        <f t="shared" si="25"/>
        <v>2</v>
      </c>
      <c r="F28" s="5">
        <f t="shared" si="25"/>
        <v>2</v>
      </c>
      <c r="G28" s="5">
        <f t="shared" si="25"/>
        <v>2</v>
      </c>
      <c r="L28" s="5"/>
    </row>
    <row r="29">
      <c r="A29" s="41" t="s">
        <v>146</v>
      </c>
      <c r="B29" s="3" t="str">
        <f t="shared" si="1"/>
        <v/>
      </c>
      <c r="C29" s="3" t="str">
        <f t="shared" si="2"/>
        <v/>
      </c>
      <c r="D29" s="5">
        <f t="shared" ref="D29:G29" si="26">RANDBETWEEN(1, 10)</f>
        <v>5</v>
      </c>
      <c r="E29" s="5">
        <f t="shared" si="26"/>
        <v>9</v>
      </c>
      <c r="F29" s="5">
        <f t="shared" si="26"/>
        <v>8</v>
      </c>
      <c r="G29" s="5">
        <f t="shared" si="26"/>
        <v>3</v>
      </c>
      <c r="L29" s="5"/>
    </row>
    <row r="30">
      <c r="A30" s="41" t="s">
        <v>147</v>
      </c>
      <c r="B30" s="3" t="str">
        <f t="shared" si="1"/>
        <v/>
      </c>
      <c r="C30" s="3" t="str">
        <f t="shared" si="2"/>
        <v/>
      </c>
      <c r="D30" s="5">
        <f t="shared" ref="D30:G30" si="27">RANDBETWEEN(1, 10)</f>
        <v>9</v>
      </c>
      <c r="E30" s="5">
        <f t="shared" si="27"/>
        <v>1</v>
      </c>
      <c r="F30" s="5">
        <f t="shared" si="27"/>
        <v>5</v>
      </c>
      <c r="G30" s="5">
        <f t="shared" si="27"/>
        <v>4</v>
      </c>
      <c r="L30" s="5"/>
    </row>
    <row r="31">
      <c r="A31" s="41" t="s">
        <v>148</v>
      </c>
      <c r="B31" s="3" t="str">
        <f t="shared" si="1"/>
        <v/>
      </c>
      <c r="C31" s="3" t="str">
        <f t="shared" si="2"/>
        <v/>
      </c>
      <c r="D31" s="5">
        <f t="shared" ref="D31:G31" si="28">RANDBETWEEN(1, 10)</f>
        <v>7</v>
      </c>
      <c r="E31" s="5">
        <f t="shared" si="28"/>
        <v>5</v>
      </c>
      <c r="F31" s="5">
        <f t="shared" si="28"/>
        <v>10</v>
      </c>
      <c r="G31" s="5">
        <f t="shared" si="28"/>
        <v>5</v>
      </c>
      <c r="L31" s="5"/>
    </row>
    <row r="32">
      <c r="A32" s="41" t="s">
        <v>149</v>
      </c>
      <c r="B32" s="3" t="str">
        <f t="shared" si="1"/>
        <v/>
      </c>
      <c r="C32" s="3" t="str">
        <f t="shared" si="2"/>
        <v/>
      </c>
      <c r="D32" s="5">
        <f t="shared" ref="D32:G32" si="29">RANDBETWEEN(1, 10)</f>
        <v>6</v>
      </c>
      <c r="E32" s="5">
        <f t="shared" si="29"/>
        <v>7</v>
      </c>
      <c r="F32" s="5">
        <f t="shared" si="29"/>
        <v>9</v>
      </c>
      <c r="G32" s="5">
        <f t="shared" si="29"/>
        <v>10</v>
      </c>
      <c r="L32" s="5"/>
    </row>
    <row r="33">
      <c r="A33" s="41" t="s">
        <v>150</v>
      </c>
      <c r="B33" s="3" t="str">
        <f t="shared" si="1"/>
        <v/>
      </c>
      <c r="C33" s="3" t="str">
        <f t="shared" si="2"/>
        <v/>
      </c>
      <c r="D33" s="5">
        <f t="shared" ref="D33:G33" si="30">RANDBETWEEN(1, 10)</f>
        <v>3</v>
      </c>
      <c r="E33" s="5">
        <f t="shared" si="30"/>
        <v>9</v>
      </c>
      <c r="F33" s="5">
        <f t="shared" si="30"/>
        <v>1</v>
      </c>
      <c r="G33" s="5">
        <f t="shared" si="30"/>
        <v>4</v>
      </c>
      <c r="L33" s="5"/>
    </row>
    <row r="34">
      <c r="A34" s="41" t="s">
        <v>151</v>
      </c>
      <c r="B34" s="3" t="str">
        <f t="shared" si="1"/>
        <v/>
      </c>
      <c r="C34" s="3" t="str">
        <f t="shared" si="2"/>
        <v/>
      </c>
      <c r="D34" s="5">
        <f t="shared" ref="D34:G34" si="31">RANDBETWEEN(1, 10)</f>
        <v>3</v>
      </c>
      <c r="E34" s="5">
        <f t="shared" si="31"/>
        <v>2</v>
      </c>
      <c r="F34" s="5">
        <f t="shared" si="31"/>
        <v>4</v>
      </c>
      <c r="G34" s="5">
        <f t="shared" si="31"/>
        <v>3</v>
      </c>
      <c r="L34" s="5"/>
    </row>
    <row r="35">
      <c r="A35" s="41" t="s">
        <v>152</v>
      </c>
      <c r="B35" s="3" t="str">
        <f t="shared" si="1"/>
        <v/>
      </c>
      <c r="C35" s="3" t="str">
        <f t="shared" si="2"/>
        <v/>
      </c>
      <c r="D35" s="5">
        <f t="shared" ref="D35:G35" si="32">RANDBETWEEN(1, 10)</f>
        <v>8</v>
      </c>
      <c r="E35" s="5">
        <f t="shared" si="32"/>
        <v>7</v>
      </c>
      <c r="F35" s="5">
        <f t="shared" si="32"/>
        <v>3</v>
      </c>
      <c r="G35" s="5">
        <f t="shared" si="32"/>
        <v>8</v>
      </c>
      <c r="L35" s="5"/>
    </row>
    <row r="36">
      <c r="A36" s="41" t="s">
        <v>153</v>
      </c>
      <c r="B36" s="3" t="str">
        <f t="shared" si="1"/>
        <v/>
      </c>
      <c r="C36" s="3" t="str">
        <f t="shared" si="2"/>
        <v/>
      </c>
      <c r="D36" s="5">
        <f t="shared" ref="D36:G36" si="33">RANDBETWEEN(1, 10)</f>
        <v>3</v>
      </c>
      <c r="E36" s="5">
        <f t="shared" si="33"/>
        <v>5</v>
      </c>
      <c r="F36" s="5">
        <f t="shared" si="33"/>
        <v>4</v>
      </c>
      <c r="G36" s="5">
        <f t="shared" si="33"/>
        <v>10</v>
      </c>
      <c r="L36" s="5"/>
    </row>
    <row r="37">
      <c r="A37" s="41" t="s">
        <v>154</v>
      </c>
      <c r="B37" s="3" t="str">
        <f t="shared" si="1"/>
        <v/>
      </c>
      <c r="C37" s="3" t="str">
        <f t="shared" si="2"/>
        <v/>
      </c>
      <c r="D37" s="5">
        <f t="shared" ref="D37:G37" si="34">RANDBETWEEN(1, 10)</f>
        <v>7</v>
      </c>
      <c r="E37" s="5">
        <f t="shared" si="34"/>
        <v>3</v>
      </c>
      <c r="F37" s="5">
        <f t="shared" si="34"/>
        <v>3</v>
      </c>
      <c r="G37" s="5">
        <f t="shared" si="34"/>
        <v>2</v>
      </c>
      <c r="L37" s="5"/>
    </row>
    <row r="38">
      <c r="A38" s="41" t="s">
        <v>155</v>
      </c>
      <c r="B38" s="3" t="str">
        <f t="shared" si="1"/>
        <v/>
      </c>
      <c r="C38" s="3" t="str">
        <f t="shared" si="2"/>
        <v/>
      </c>
      <c r="D38" s="5">
        <f t="shared" ref="D38:G38" si="35">RANDBETWEEN(1, 10)</f>
        <v>5</v>
      </c>
      <c r="E38" s="5">
        <f t="shared" si="35"/>
        <v>7</v>
      </c>
      <c r="F38" s="5">
        <f t="shared" si="35"/>
        <v>9</v>
      </c>
      <c r="G38" s="5">
        <f t="shared" si="35"/>
        <v>2</v>
      </c>
      <c r="L38" s="5"/>
    </row>
    <row r="39">
      <c r="A39" s="41" t="s">
        <v>156</v>
      </c>
      <c r="B39" s="3" t="str">
        <f t="shared" si="1"/>
        <v/>
      </c>
      <c r="C39" s="3" t="str">
        <f t="shared" si="2"/>
        <v/>
      </c>
      <c r="D39" s="5">
        <f t="shared" ref="D39:G39" si="36">RANDBETWEEN(1, 10)</f>
        <v>6</v>
      </c>
      <c r="E39" s="5">
        <f t="shared" si="36"/>
        <v>3</v>
      </c>
      <c r="F39" s="5">
        <f t="shared" si="36"/>
        <v>6</v>
      </c>
      <c r="G39" s="5">
        <f t="shared" si="36"/>
        <v>2</v>
      </c>
      <c r="L39" s="5"/>
    </row>
    <row r="40">
      <c r="A40" s="41" t="s">
        <v>157</v>
      </c>
      <c r="B40" s="3" t="str">
        <f t="shared" si="1"/>
        <v/>
      </c>
      <c r="C40" s="3" t="str">
        <f t="shared" si="2"/>
        <v/>
      </c>
      <c r="D40" s="5">
        <f t="shared" ref="D40:G40" si="37">RANDBETWEEN(1, 10)</f>
        <v>6</v>
      </c>
      <c r="E40" s="5">
        <f t="shared" si="37"/>
        <v>2</v>
      </c>
      <c r="F40" s="5">
        <f t="shared" si="37"/>
        <v>3</v>
      </c>
      <c r="G40" s="5">
        <f t="shared" si="37"/>
        <v>10</v>
      </c>
      <c r="L40" s="5"/>
    </row>
    <row r="41">
      <c r="A41" s="41" t="s">
        <v>158</v>
      </c>
      <c r="B41" s="3" t="str">
        <f t="shared" si="1"/>
        <v/>
      </c>
      <c r="C41" s="3" t="str">
        <f t="shared" si="2"/>
        <v/>
      </c>
      <c r="D41" s="5">
        <f t="shared" ref="D41:G41" si="38">RANDBETWEEN(1, 10)</f>
        <v>2</v>
      </c>
      <c r="E41" s="5">
        <f t="shared" si="38"/>
        <v>7</v>
      </c>
      <c r="F41" s="5">
        <f t="shared" si="38"/>
        <v>10</v>
      </c>
      <c r="G41" s="5">
        <f t="shared" si="38"/>
        <v>9</v>
      </c>
      <c r="L41" s="5"/>
    </row>
    <row r="42">
      <c r="A42" s="41" t="s">
        <v>159</v>
      </c>
      <c r="B42" s="3" t="str">
        <f t="shared" si="1"/>
        <v/>
      </c>
      <c r="C42" s="3" t="str">
        <f t="shared" si="2"/>
        <v/>
      </c>
      <c r="D42" s="5">
        <f t="shared" ref="D42:G42" si="39">RANDBETWEEN(1, 10)</f>
        <v>6</v>
      </c>
      <c r="E42" s="5">
        <f t="shared" si="39"/>
        <v>2</v>
      </c>
      <c r="F42" s="5">
        <f t="shared" si="39"/>
        <v>2</v>
      </c>
      <c r="G42" s="5">
        <f t="shared" si="39"/>
        <v>8</v>
      </c>
      <c r="L42" s="5"/>
    </row>
    <row r="43">
      <c r="A43" s="41" t="s">
        <v>160</v>
      </c>
      <c r="B43" s="3" t="str">
        <f t="shared" si="1"/>
        <v/>
      </c>
      <c r="C43" s="3" t="str">
        <f t="shared" si="2"/>
        <v/>
      </c>
      <c r="D43" s="5">
        <f t="shared" ref="D43:G43" si="40">RANDBETWEEN(1, 10)</f>
        <v>7</v>
      </c>
      <c r="E43" s="5">
        <f t="shared" si="40"/>
        <v>6</v>
      </c>
      <c r="F43" s="5">
        <f t="shared" si="40"/>
        <v>2</v>
      </c>
      <c r="G43" s="5">
        <f t="shared" si="40"/>
        <v>1</v>
      </c>
      <c r="L43" s="5"/>
    </row>
    <row r="44">
      <c r="A44" s="41" t="s">
        <v>161</v>
      </c>
      <c r="B44" s="3" t="str">
        <f t="shared" si="1"/>
        <v/>
      </c>
      <c r="C44" s="3" t="str">
        <f t="shared" si="2"/>
        <v/>
      </c>
      <c r="D44" s="5">
        <f t="shared" ref="D44:G44" si="41">RANDBETWEEN(1, 10)</f>
        <v>6</v>
      </c>
      <c r="E44" s="5">
        <f t="shared" si="41"/>
        <v>9</v>
      </c>
      <c r="F44" s="5">
        <f t="shared" si="41"/>
        <v>10</v>
      </c>
      <c r="G44" s="5">
        <f t="shared" si="41"/>
        <v>1</v>
      </c>
      <c r="L44" s="5"/>
    </row>
    <row r="45">
      <c r="A45" s="41" t="s">
        <v>162</v>
      </c>
      <c r="B45" s="3" t="str">
        <f t="shared" si="1"/>
        <v/>
      </c>
      <c r="C45" s="3" t="str">
        <f t="shared" si="2"/>
        <v/>
      </c>
      <c r="D45" s="5">
        <f t="shared" ref="D45:G45" si="42">RANDBETWEEN(1, 10)</f>
        <v>7</v>
      </c>
      <c r="E45" s="5">
        <f t="shared" si="42"/>
        <v>3</v>
      </c>
      <c r="F45" s="5">
        <f t="shared" si="42"/>
        <v>8</v>
      </c>
      <c r="G45" s="5">
        <f t="shared" si="42"/>
        <v>1</v>
      </c>
      <c r="L45" s="5"/>
    </row>
    <row r="46">
      <c r="A46" s="41" t="s">
        <v>163</v>
      </c>
      <c r="B46" s="3" t="str">
        <f t="shared" si="1"/>
        <v/>
      </c>
      <c r="C46" s="3" t="str">
        <f t="shared" si="2"/>
        <v/>
      </c>
      <c r="D46" s="5">
        <f t="shared" ref="D46:G46" si="43">RANDBETWEEN(1, 10)</f>
        <v>6</v>
      </c>
      <c r="E46" s="5">
        <f t="shared" si="43"/>
        <v>10</v>
      </c>
      <c r="F46" s="5">
        <f t="shared" si="43"/>
        <v>5</v>
      </c>
      <c r="G46" s="5">
        <f t="shared" si="43"/>
        <v>10</v>
      </c>
      <c r="L46" s="5"/>
    </row>
    <row r="47">
      <c r="A47" s="41" t="s">
        <v>164</v>
      </c>
      <c r="B47" s="3" t="str">
        <f t="shared" si="1"/>
        <v/>
      </c>
      <c r="C47" s="3" t="str">
        <f t="shared" si="2"/>
        <v/>
      </c>
      <c r="D47" s="5">
        <f t="shared" ref="D47:G47" si="44">RANDBETWEEN(1, 10)</f>
        <v>7</v>
      </c>
      <c r="E47" s="5">
        <f t="shared" si="44"/>
        <v>4</v>
      </c>
      <c r="F47" s="5">
        <f t="shared" si="44"/>
        <v>7</v>
      </c>
      <c r="G47" s="5">
        <f t="shared" si="44"/>
        <v>5</v>
      </c>
      <c r="L47" s="5"/>
    </row>
    <row r="48">
      <c r="A48" s="41" t="s">
        <v>165</v>
      </c>
      <c r="B48" s="3" t="str">
        <f t="shared" si="1"/>
        <v/>
      </c>
      <c r="C48" s="3" t="str">
        <f t="shared" si="2"/>
        <v/>
      </c>
      <c r="D48" s="5">
        <f t="shared" ref="D48:G48" si="45">RANDBETWEEN(1, 10)</f>
        <v>5</v>
      </c>
      <c r="E48" s="5">
        <f t="shared" si="45"/>
        <v>6</v>
      </c>
      <c r="F48" s="5">
        <f t="shared" si="45"/>
        <v>4</v>
      </c>
      <c r="G48" s="5">
        <f t="shared" si="45"/>
        <v>10</v>
      </c>
      <c r="L48" s="5"/>
    </row>
    <row r="49">
      <c r="A49" s="41" t="s">
        <v>166</v>
      </c>
      <c r="B49" s="3" t="str">
        <f t="shared" si="1"/>
        <v/>
      </c>
      <c r="C49" s="3" t="str">
        <f t="shared" si="2"/>
        <v/>
      </c>
      <c r="D49" s="5">
        <f t="shared" ref="D49:G49" si="46">RANDBETWEEN(1, 10)</f>
        <v>4</v>
      </c>
      <c r="E49" s="5">
        <f t="shared" si="46"/>
        <v>10</v>
      </c>
      <c r="F49" s="5">
        <f t="shared" si="46"/>
        <v>8</v>
      </c>
      <c r="G49" s="5">
        <f t="shared" si="46"/>
        <v>2</v>
      </c>
      <c r="L49" s="5"/>
    </row>
    <row r="50">
      <c r="L50" s="5"/>
    </row>
    <row r="51">
      <c r="L51" s="5"/>
    </row>
    <row r="52">
      <c r="L52" s="5"/>
    </row>
    <row r="53">
      <c r="L53" s="5"/>
    </row>
    <row r="54">
      <c r="L54" s="5"/>
    </row>
    <row r="55">
      <c r="L55" s="5"/>
    </row>
    <row r="56">
      <c r="L56" s="5"/>
    </row>
    <row r="57">
      <c r="L57" s="5"/>
    </row>
    <row r="58">
      <c r="L58" s="5"/>
    </row>
    <row r="59">
      <c r="L59" s="5"/>
    </row>
    <row r="60">
      <c r="L60" s="5"/>
    </row>
    <row r="61">
      <c r="L61" s="5"/>
    </row>
    <row r="62">
      <c r="L62" s="5"/>
    </row>
    <row r="63">
      <c r="L63" s="5"/>
    </row>
    <row r="64">
      <c r="L64" s="5"/>
    </row>
    <row r="65">
      <c r="L65" s="5"/>
    </row>
    <row r="66">
      <c r="L66" s="5"/>
    </row>
    <row r="67">
      <c r="L67" s="5"/>
    </row>
    <row r="68">
      <c r="L68" s="5"/>
    </row>
    <row r="69">
      <c r="L69" s="5"/>
    </row>
    <row r="70">
      <c r="L70" s="5"/>
    </row>
    <row r="71">
      <c r="L71" s="5"/>
    </row>
    <row r="72">
      <c r="L72" s="5"/>
    </row>
    <row r="73">
      <c r="L73" s="5"/>
    </row>
    <row r="74">
      <c r="L74" s="5"/>
    </row>
    <row r="75">
      <c r="L75" s="5"/>
    </row>
    <row r="76">
      <c r="L76" s="5"/>
    </row>
    <row r="77">
      <c r="L77" s="5"/>
    </row>
    <row r="78">
      <c r="L78" s="5"/>
    </row>
    <row r="79">
      <c r="L79" s="5"/>
    </row>
    <row r="80">
      <c r="L80" s="5"/>
    </row>
    <row r="81">
      <c r="L81" s="5"/>
    </row>
    <row r="82">
      <c r="L82" s="5"/>
    </row>
    <row r="83">
      <c r="L83" s="5"/>
    </row>
    <row r="84">
      <c r="L84" s="5"/>
    </row>
    <row r="85">
      <c r="L85" s="5"/>
    </row>
    <row r="86">
      <c r="L86" s="5"/>
    </row>
    <row r="87">
      <c r="L87" s="5"/>
    </row>
    <row r="88">
      <c r="L88" s="5"/>
    </row>
    <row r="89">
      <c r="L89" s="5"/>
    </row>
    <row r="90">
      <c r="L90" s="5"/>
    </row>
    <row r="91">
      <c r="L91" s="5"/>
    </row>
    <row r="92">
      <c r="L92" s="5"/>
    </row>
    <row r="93">
      <c r="L93" s="5"/>
    </row>
    <row r="94">
      <c r="L94" s="5"/>
    </row>
    <row r="95">
      <c r="L95" s="5"/>
    </row>
    <row r="96">
      <c r="L96" s="5"/>
    </row>
    <row r="97">
      <c r="L97" s="5"/>
    </row>
    <row r="98">
      <c r="L98" s="5"/>
    </row>
    <row r="99">
      <c r="L99" s="5"/>
    </row>
    <row r="100">
      <c r="L100" s="5"/>
    </row>
    <row r="101">
      <c r="L101" s="5"/>
    </row>
    <row r="102">
      <c r="L102" s="5"/>
    </row>
    <row r="103">
      <c r="L103" s="5"/>
    </row>
    <row r="104">
      <c r="L104" s="5"/>
    </row>
    <row r="105">
      <c r="L105" s="5"/>
    </row>
    <row r="106">
      <c r="L106" s="5"/>
    </row>
    <row r="107">
      <c r="L107" s="5"/>
    </row>
    <row r="108">
      <c r="L108" s="5"/>
    </row>
    <row r="109">
      <c r="L109" s="5"/>
    </row>
    <row r="110">
      <c r="L110" s="5"/>
    </row>
    <row r="111">
      <c r="L111" s="5"/>
    </row>
    <row r="112">
      <c r="L112" s="5"/>
    </row>
    <row r="113">
      <c r="L113" s="5"/>
    </row>
    <row r="114">
      <c r="L114" s="5"/>
    </row>
    <row r="115">
      <c r="L115" s="5"/>
    </row>
    <row r="116">
      <c r="L116" s="5"/>
    </row>
    <row r="117">
      <c r="L117" s="5"/>
    </row>
    <row r="118">
      <c r="L118" s="5"/>
    </row>
    <row r="119">
      <c r="L119" s="5"/>
    </row>
    <row r="120">
      <c r="L120" s="5"/>
    </row>
    <row r="121">
      <c r="L121" s="5"/>
    </row>
    <row r="122">
      <c r="L122" s="5"/>
    </row>
    <row r="123">
      <c r="L123" s="5"/>
    </row>
    <row r="124">
      <c r="L124" s="5"/>
    </row>
    <row r="125">
      <c r="L125" s="5"/>
    </row>
    <row r="126">
      <c r="L126" s="5"/>
    </row>
    <row r="127">
      <c r="L127" s="5"/>
    </row>
    <row r="128">
      <c r="L128" s="5"/>
    </row>
    <row r="129">
      <c r="L129" s="5"/>
    </row>
    <row r="130">
      <c r="L130" s="5"/>
    </row>
    <row r="131">
      <c r="L131" s="5"/>
    </row>
    <row r="132">
      <c r="L132" s="5"/>
    </row>
    <row r="133">
      <c r="L133" s="5"/>
    </row>
    <row r="134">
      <c r="L134" s="5"/>
    </row>
    <row r="135">
      <c r="L135" s="5"/>
    </row>
    <row r="136">
      <c r="L136" s="5"/>
    </row>
    <row r="137">
      <c r="L137" s="5"/>
    </row>
    <row r="138">
      <c r="L138" s="5"/>
    </row>
    <row r="139">
      <c r="L139" s="5"/>
    </row>
    <row r="140">
      <c r="L140" s="5"/>
    </row>
    <row r="141">
      <c r="L141" s="5"/>
    </row>
    <row r="142">
      <c r="L142" s="5"/>
    </row>
    <row r="143">
      <c r="L143" s="5"/>
    </row>
    <row r="144">
      <c r="L144" s="5"/>
    </row>
    <row r="145">
      <c r="L145" s="5"/>
    </row>
    <row r="146">
      <c r="L146" s="5"/>
    </row>
    <row r="147">
      <c r="L147" s="5"/>
    </row>
    <row r="148">
      <c r="L148" s="5"/>
    </row>
    <row r="149">
      <c r="L149" s="5"/>
    </row>
    <row r="150">
      <c r="L150" s="5"/>
    </row>
    <row r="151">
      <c r="L151" s="5"/>
    </row>
    <row r="152">
      <c r="L152" s="5"/>
    </row>
    <row r="153">
      <c r="L153" s="5"/>
    </row>
    <row r="154">
      <c r="L154" s="5"/>
    </row>
    <row r="155">
      <c r="L155" s="5"/>
    </row>
    <row r="156">
      <c r="L156" s="5"/>
    </row>
    <row r="157">
      <c r="L157" s="5"/>
    </row>
    <row r="158">
      <c r="L158" s="5"/>
    </row>
    <row r="159">
      <c r="L159" s="5"/>
    </row>
    <row r="160">
      <c r="L160" s="5"/>
    </row>
    <row r="161">
      <c r="L161" s="5"/>
    </row>
    <row r="162">
      <c r="L162" s="5"/>
    </row>
    <row r="163">
      <c r="L163" s="5"/>
    </row>
    <row r="164">
      <c r="L164" s="5"/>
    </row>
    <row r="165">
      <c r="L165" s="5"/>
    </row>
    <row r="166">
      <c r="L166" s="5"/>
    </row>
    <row r="167">
      <c r="L167" s="5"/>
    </row>
    <row r="168">
      <c r="L168" s="5"/>
    </row>
    <row r="169">
      <c r="L169" s="5"/>
    </row>
    <row r="170">
      <c r="L170" s="5"/>
    </row>
    <row r="171">
      <c r="L171" s="5"/>
    </row>
    <row r="172">
      <c r="L172" s="5"/>
    </row>
    <row r="173">
      <c r="L173" s="5"/>
    </row>
    <row r="174">
      <c r="L174" s="5"/>
    </row>
    <row r="175">
      <c r="L175" s="5"/>
    </row>
    <row r="176">
      <c r="L176" s="5"/>
    </row>
    <row r="177">
      <c r="L177" s="5"/>
    </row>
    <row r="178">
      <c r="L178" s="5"/>
    </row>
    <row r="179">
      <c r="L179" s="5"/>
    </row>
    <row r="180">
      <c r="L180" s="5"/>
    </row>
    <row r="181">
      <c r="L181" s="5"/>
    </row>
    <row r="182">
      <c r="L182" s="5"/>
    </row>
    <row r="183">
      <c r="L183" s="5"/>
    </row>
    <row r="184">
      <c r="L184" s="5"/>
    </row>
    <row r="185">
      <c r="L185" s="5"/>
    </row>
    <row r="186">
      <c r="L186" s="5"/>
    </row>
    <row r="187">
      <c r="L187" s="5"/>
    </row>
    <row r="188">
      <c r="L188" s="5"/>
    </row>
    <row r="189">
      <c r="L189" s="5"/>
    </row>
    <row r="190">
      <c r="L190" s="5"/>
    </row>
    <row r="191">
      <c r="L191" s="5"/>
    </row>
    <row r="192">
      <c r="L192" s="5"/>
    </row>
    <row r="193">
      <c r="L193" s="5"/>
    </row>
    <row r="194">
      <c r="L194" s="5"/>
    </row>
    <row r="195">
      <c r="L195" s="5"/>
    </row>
    <row r="196">
      <c r="L196" s="5"/>
    </row>
    <row r="197">
      <c r="L197" s="5"/>
    </row>
    <row r="198">
      <c r="L198" s="5"/>
    </row>
    <row r="199">
      <c r="L199" s="5"/>
    </row>
    <row r="200">
      <c r="L200" s="5"/>
    </row>
    <row r="201">
      <c r="L201" s="5"/>
    </row>
    <row r="202">
      <c r="L202" s="5"/>
    </row>
    <row r="203">
      <c r="L203" s="5"/>
    </row>
    <row r="204">
      <c r="L204" s="5"/>
    </row>
    <row r="205">
      <c r="L205" s="5"/>
    </row>
    <row r="206">
      <c r="L206" s="5"/>
    </row>
    <row r="207">
      <c r="L207" s="5"/>
    </row>
    <row r="208">
      <c r="L208" s="5"/>
    </row>
    <row r="209">
      <c r="L209" s="5"/>
    </row>
    <row r="210">
      <c r="L210" s="5"/>
    </row>
    <row r="211">
      <c r="L211" s="5"/>
    </row>
    <row r="212">
      <c r="L212" s="5"/>
    </row>
    <row r="213">
      <c r="L213" s="5"/>
    </row>
    <row r="214">
      <c r="L214" s="5"/>
    </row>
    <row r="215">
      <c r="L215" s="5"/>
    </row>
    <row r="216">
      <c r="L216" s="5"/>
    </row>
    <row r="217">
      <c r="L217" s="5"/>
    </row>
    <row r="218">
      <c r="L218" s="5"/>
    </row>
    <row r="219">
      <c r="L219" s="5"/>
    </row>
    <row r="220">
      <c r="L220" s="5"/>
    </row>
    <row r="221">
      <c r="L221" s="5"/>
    </row>
    <row r="222">
      <c r="L222" s="5"/>
    </row>
    <row r="223">
      <c r="L223" s="5"/>
    </row>
    <row r="224">
      <c r="L224" s="5"/>
    </row>
    <row r="225">
      <c r="L225" s="5"/>
    </row>
    <row r="226">
      <c r="L226" s="5"/>
    </row>
    <row r="227">
      <c r="L227" s="5"/>
    </row>
    <row r="228">
      <c r="L228" s="5"/>
    </row>
    <row r="229">
      <c r="L229" s="5"/>
    </row>
    <row r="230">
      <c r="L230" s="5"/>
    </row>
    <row r="231">
      <c r="L231" s="5"/>
    </row>
    <row r="232">
      <c r="L232" s="5"/>
    </row>
    <row r="233">
      <c r="L233" s="5"/>
    </row>
    <row r="234">
      <c r="L234" s="5"/>
    </row>
    <row r="235">
      <c r="L235" s="5"/>
    </row>
    <row r="236">
      <c r="L236" s="5"/>
    </row>
    <row r="237">
      <c r="L237" s="5"/>
    </row>
    <row r="238">
      <c r="L238" s="5"/>
    </row>
    <row r="239">
      <c r="L239" s="5"/>
    </row>
    <row r="240">
      <c r="L240" s="5"/>
    </row>
    <row r="241">
      <c r="L241" s="5"/>
    </row>
    <row r="242">
      <c r="L242" s="5"/>
    </row>
    <row r="243">
      <c r="L243" s="5"/>
    </row>
    <row r="244">
      <c r="L244" s="5"/>
    </row>
    <row r="245">
      <c r="L245" s="5"/>
    </row>
    <row r="246">
      <c r="L246" s="5"/>
    </row>
    <row r="247">
      <c r="L247" s="5"/>
    </row>
    <row r="248">
      <c r="L248" s="5"/>
    </row>
    <row r="249">
      <c r="L249" s="5"/>
    </row>
    <row r="250">
      <c r="L250" s="5"/>
    </row>
    <row r="251">
      <c r="L251" s="5"/>
    </row>
    <row r="252">
      <c r="L252" s="5"/>
    </row>
    <row r="253">
      <c r="L253" s="5"/>
    </row>
    <row r="254">
      <c r="L254" s="5"/>
    </row>
    <row r="255">
      <c r="L255" s="5"/>
    </row>
    <row r="256">
      <c r="L256" s="5"/>
    </row>
    <row r="257">
      <c r="L257" s="5"/>
    </row>
    <row r="258">
      <c r="L258" s="5"/>
    </row>
    <row r="259">
      <c r="L259" s="5"/>
    </row>
    <row r="260">
      <c r="L260" s="5"/>
    </row>
    <row r="261">
      <c r="L261" s="5"/>
    </row>
    <row r="262">
      <c r="L262" s="5"/>
    </row>
    <row r="263">
      <c r="L263" s="5"/>
    </row>
    <row r="264">
      <c r="L264" s="5"/>
    </row>
    <row r="265">
      <c r="L265" s="5"/>
    </row>
    <row r="266">
      <c r="L266" s="5"/>
    </row>
    <row r="267">
      <c r="L267" s="5"/>
    </row>
    <row r="268">
      <c r="L268" s="5"/>
    </row>
    <row r="269">
      <c r="L269" s="5"/>
    </row>
    <row r="270">
      <c r="L270" s="5"/>
    </row>
    <row r="271">
      <c r="L271" s="5"/>
    </row>
    <row r="272">
      <c r="L272" s="5"/>
    </row>
    <row r="273">
      <c r="L273" s="5"/>
    </row>
    <row r="274">
      <c r="L274" s="5"/>
    </row>
    <row r="275">
      <c r="L275" s="5"/>
    </row>
    <row r="276">
      <c r="L276" s="5"/>
    </row>
    <row r="277">
      <c r="L277" s="5"/>
    </row>
    <row r="278">
      <c r="L278" s="5"/>
    </row>
    <row r="279">
      <c r="L279" s="5"/>
    </row>
    <row r="280">
      <c r="L280" s="5"/>
    </row>
    <row r="281">
      <c r="L281" s="5"/>
    </row>
    <row r="282">
      <c r="L282" s="5"/>
    </row>
    <row r="283">
      <c r="L283" s="5"/>
    </row>
    <row r="284">
      <c r="L284" s="5"/>
    </row>
    <row r="285">
      <c r="L285" s="5"/>
    </row>
    <row r="286">
      <c r="L286" s="5"/>
    </row>
    <row r="287">
      <c r="L287" s="5"/>
    </row>
    <row r="288">
      <c r="L288" s="5"/>
    </row>
    <row r="289">
      <c r="L289" s="5"/>
    </row>
    <row r="290">
      <c r="L290" s="5"/>
    </row>
    <row r="291">
      <c r="L291" s="5"/>
    </row>
    <row r="292">
      <c r="L292" s="5"/>
    </row>
    <row r="293">
      <c r="L293" s="5"/>
    </row>
    <row r="294">
      <c r="L294" s="5"/>
    </row>
    <row r="295">
      <c r="L295" s="5"/>
    </row>
    <row r="296">
      <c r="L296" s="5"/>
    </row>
    <row r="297">
      <c r="L297" s="5"/>
    </row>
    <row r="298">
      <c r="L298" s="5"/>
    </row>
    <row r="299">
      <c r="L299" s="5"/>
    </row>
    <row r="300">
      <c r="L300" s="5"/>
    </row>
    <row r="301">
      <c r="L301" s="5"/>
    </row>
    <row r="302">
      <c r="L302" s="5"/>
    </row>
    <row r="303">
      <c r="L303" s="5"/>
    </row>
    <row r="304">
      <c r="L304" s="5"/>
    </row>
    <row r="305">
      <c r="L305" s="5"/>
    </row>
    <row r="306">
      <c r="L306" s="5"/>
    </row>
    <row r="307">
      <c r="L307" s="5"/>
    </row>
    <row r="308">
      <c r="L308" s="5"/>
    </row>
    <row r="309">
      <c r="L309" s="5"/>
    </row>
    <row r="310">
      <c r="L310" s="5"/>
    </row>
    <row r="311">
      <c r="L311" s="5"/>
    </row>
    <row r="312">
      <c r="L312" s="5"/>
    </row>
    <row r="313">
      <c r="L313" s="5"/>
    </row>
    <row r="314">
      <c r="L314" s="5"/>
    </row>
    <row r="315">
      <c r="L315" s="5"/>
    </row>
    <row r="316">
      <c r="L316" s="5"/>
    </row>
    <row r="317">
      <c r="L317" s="5"/>
    </row>
    <row r="318">
      <c r="L318" s="5"/>
    </row>
    <row r="319">
      <c r="L319" s="5"/>
    </row>
    <row r="320">
      <c r="L320" s="5"/>
    </row>
    <row r="321">
      <c r="L321" s="5"/>
    </row>
    <row r="322">
      <c r="L322" s="5"/>
    </row>
    <row r="323">
      <c r="L323" s="5"/>
    </row>
    <row r="324">
      <c r="L324" s="5"/>
    </row>
    <row r="325">
      <c r="L325" s="5"/>
    </row>
    <row r="326">
      <c r="L326" s="5"/>
    </row>
    <row r="327">
      <c r="L327" s="5"/>
    </row>
    <row r="328">
      <c r="L328" s="5"/>
    </row>
    <row r="329">
      <c r="L329" s="5"/>
    </row>
    <row r="330">
      <c r="L330" s="5"/>
    </row>
    <row r="331">
      <c r="L331" s="5"/>
    </row>
    <row r="332">
      <c r="L332" s="5"/>
    </row>
    <row r="333">
      <c r="L333" s="5"/>
    </row>
    <row r="334">
      <c r="L334" s="5"/>
    </row>
    <row r="335">
      <c r="L335" s="5"/>
    </row>
    <row r="336">
      <c r="L336" s="5"/>
    </row>
    <row r="337">
      <c r="L337" s="5"/>
    </row>
    <row r="338">
      <c r="L338" s="5"/>
    </row>
    <row r="339">
      <c r="L339" s="5"/>
    </row>
    <row r="340">
      <c r="L340" s="5"/>
    </row>
    <row r="341">
      <c r="L341" s="5"/>
    </row>
    <row r="342">
      <c r="L342" s="5"/>
    </row>
    <row r="343">
      <c r="L343" s="5"/>
    </row>
    <row r="344">
      <c r="L344" s="5"/>
    </row>
    <row r="345">
      <c r="L345" s="5"/>
    </row>
    <row r="346">
      <c r="L346" s="5"/>
    </row>
    <row r="347">
      <c r="L347" s="5"/>
    </row>
    <row r="348">
      <c r="L348" s="5"/>
    </row>
    <row r="349">
      <c r="L349" s="5"/>
    </row>
    <row r="350">
      <c r="L350" s="5"/>
    </row>
    <row r="351">
      <c r="L351" s="5"/>
    </row>
    <row r="352">
      <c r="L352" s="5"/>
    </row>
    <row r="353">
      <c r="L353" s="5"/>
    </row>
    <row r="354">
      <c r="L354" s="5"/>
    </row>
    <row r="355">
      <c r="L355" s="5"/>
    </row>
    <row r="356">
      <c r="L356" s="5"/>
    </row>
    <row r="357">
      <c r="L357" s="5"/>
    </row>
    <row r="358">
      <c r="L358" s="5"/>
    </row>
    <row r="359">
      <c r="L359" s="5"/>
    </row>
    <row r="360">
      <c r="L360" s="5"/>
    </row>
    <row r="361">
      <c r="L361" s="5"/>
    </row>
    <row r="362">
      <c r="L362" s="5"/>
    </row>
    <row r="363">
      <c r="L363" s="5"/>
    </row>
    <row r="364">
      <c r="L364" s="5"/>
    </row>
    <row r="365">
      <c r="L365" s="5"/>
    </row>
    <row r="366">
      <c r="L366" s="5"/>
    </row>
    <row r="367">
      <c r="L367" s="5"/>
    </row>
    <row r="368">
      <c r="L368" s="5"/>
    </row>
    <row r="369">
      <c r="L369" s="5"/>
    </row>
    <row r="370">
      <c r="L370" s="5"/>
    </row>
    <row r="371">
      <c r="L371" s="5"/>
    </row>
    <row r="372">
      <c r="L372" s="5"/>
    </row>
    <row r="373">
      <c r="L373" s="5"/>
    </row>
    <row r="374">
      <c r="L374" s="5"/>
    </row>
    <row r="375">
      <c r="L375" s="5"/>
    </row>
    <row r="376">
      <c r="L376" s="5"/>
    </row>
    <row r="377">
      <c r="L377" s="5"/>
    </row>
    <row r="378">
      <c r="L378" s="5"/>
    </row>
    <row r="379">
      <c r="L379" s="5"/>
    </row>
    <row r="380">
      <c r="L380" s="5"/>
    </row>
    <row r="381">
      <c r="L381" s="5"/>
    </row>
    <row r="382">
      <c r="L382" s="5"/>
    </row>
    <row r="383">
      <c r="L383" s="5"/>
    </row>
    <row r="384">
      <c r="L384" s="5"/>
    </row>
    <row r="385">
      <c r="L385" s="5"/>
    </row>
    <row r="386">
      <c r="L386" s="5"/>
    </row>
    <row r="387">
      <c r="L387" s="5"/>
    </row>
    <row r="388">
      <c r="L388" s="5"/>
    </row>
    <row r="389">
      <c r="L389" s="5"/>
    </row>
    <row r="390">
      <c r="L390" s="5"/>
    </row>
    <row r="391">
      <c r="L391" s="5"/>
    </row>
    <row r="392">
      <c r="L392" s="5"/>
    </row>
    <row r="393">
      <c r="L393" s="5"/>
    </row>
    <row r="394">
      <c r="L394" s="5"/>
    </row>
    <row r="395">
      <c r="L395" s="5"/>
    </row>
    <row r="396">
      <c r="L396" s="5"/>
    </row>
    <row r="397">
      <c r="L397" s="5"/>
    </row>
    <row r="398">
      <c r="L398" s="5"/>
    </row>
    <row r="399">
      <c r="L399" s="5"/>
    </row>
    <row r="400">
      <c r="L400" s="5"/>
    </row>
    <row r="401">
      <c r="L401" s="5"/>
    </row>
    <row r="402">
      <c r="L402" s="5"/>
    </row>
    <row r="403">
      <c r="L403" s="5"/>
    </row>
    <row r="404">
      <c r="L404" s="5"/>
    </row>
    <row r="405">
      <c r="L405" s="5"/>
    </row>
    <row r="406">
      <c r="L406" s="5"/>
    </row>
    <row r="407">
      <c r="L407" s="5"/>
    </row>
    <row r="408">
      <c r="L408" s="5"/>
    </row>
    <row r="409">
      <c r="L409" s="5"/>
    </row>
    <row r="410">
      <c r="L410" s="5"/>
    </row>
    <row r="411">
      <c r="L411" s="5"/>
    </row>
    <row r="412">
      <c r="L412" s="5"/>
    </row>
    <row r="413">
      <c r="L413" s="5"/>
    </row>
    <row r="414">
      <c r="L414" s="5"/>
    </row>
    <row r="415">
      <c r="L415" s="5"/>
    </row>
    <row r="416">
      <c r="L416" s="5"/>
    </row>
    <row r="417">
      <c r="L417" s="5"/>
    </row>
    <row r="418">
      <c r="L418" s="5"/>
    </row>
    <row r="419">
      <c r="L419" s="5"/>
    </row>
    <row r="420">
      <c r="L420" s="5"/>
    </row>
    <row r="421">
      <c r="L421" s="5"/>
    </row>
    <row r="422">
      <c r="L422" s="5"/>
    </row>
    <row r="423">
      <c r="L423" s="5"/>
    </row>
    <row r="424">
      <c r="L424" s="5"/>
    </row>
    <row r="425">
      <c r="L425" s="5"/>
    </row>
    <row r="426">
      <c r="L426" s="5"/>
    </row>
    <row r="427">
      <c r="L427" s="5"/>
    </row>
    <row r="428">
      <c r="L428" s="5"/>
    </row>
    <row r="429">
      <c r="L429" s="5"/>
    </row>
    <row r="430">
      <c r="L430" s="5"/>
    </row>
    <row r="431">
      <c r="L431" s="5"/>
    </row>
    <row r="432">
      <c r="L432" s="5"/>
    </row>
    <row r="433">
      <c r="L433" s="5"/>
    </row>
    <row r="434">
      <c r="L434" s="5"/>
    </row>
    <row r="435">
      <c r="L435" s="5"/>
    </row>
    <row r="436">
      <c r="L436" s="5"/>
    </row>
    <row r="437">
      <c r="L437" s="5"/>
    </row>
    <row r="438">
      <c r="L438" s="5"/>
    </row>
    <row r="439">
      <c r="L439" s="5"/>
    </row>
    <row r="440">
      <c r="L440" s="5"/>
    </row>
    <row r="441">
      <c r="L441" s="5"/>
    </row>
    <row r="442">
      <c r="L442" s="5"/>
    </row>
    <row r="443">
      <c r="L443" s="5"/>
    </row>
    <row r="444">
      <c r="L444" s="5"/>
    </row>
    <row r="445">
      <c r="L445" s="5"/>
    </row>
    <row r="446">
      <c r="L446" s="5"/>
    </row>
    <row r="447">
      <c r="L447" s="5"/>
    </row>
    <row r="448">
      <c r="L448" s="5"/>
    </row>
    <row r="449">
      <c r="L449" s="5"/>
    </row>
    <row r="450">
      <c r="L450" s="5"/>
    </row>
    <row r="451">
      <c r="L451" s="5"/>
    </row>
    <row r="452">
      <c r="L452" s="5"/>
    </row>
    <row r="453">
      <c r="L453" s="5"/>
    </row>
    <row r="454">
      <c r="L454" s="5"/>
    </row>
    <row r="455">
      <c r="L455" s="5"/>
    </row>
    <row r="456">
      <c r="L456" s="5"/>
    </row>
    <row r="457">
      <c r="L457" s="5"/>
    </row>
    <row r="458">
      <c r="L458" s="5"/>
    </row>
    <row r="459">
      <c r="L459" s="5"/>
    </row>
    <row r="460">
      <c r="L460" s="5"/>
    </row>
    <row r="461">
      <c r="L461" s="5"/>
    </row>
    <row r="462">
      <c r="L462" s="5"/>
    </row>
    <row r="463">
      <c r="L463" s="5"/>
    </row>
    <row r="464">
      <c r="L464" s="5"/>
    </row>
    <row r="465">
      <c r="L465" s="5"/>
    </row>
    <row r="466">
      <c r="L466" s="5"/>
    </row>
    <row r="467">
      <c r="L467" s="5"/>
    </row>
    <row r="468">
      <c r="L468" s="5"/>
    </row>
    <row r="469">
      <c r="L469" s="5"/>
    </row>
    <row r="470">
      <c r="L470" s="5"/>
    </row>
    <row r="471">
      <c r="L471" s="5"/>
    </row>
    <row r="472">
      <c r="L472" s="5"/>
    </row>
    <row r="473">
      <c r="L473" s="5"/>
    </row>
    <row r="474">
      <c r="L474" s="5"/>
    </row>
    <row r="475">
      <c r="L475" s="5"/>
    </row>
    <row r="476">
      <c r="L476" s="5"/>
    </row>
    <row r="477">
      <c r="L477" s="5"/>
    </row>
    <row r="478">
      <c r="L478" s="5"/>
    </row>
    <row r="479">
      <c r="L479" s="5"/>
    </row>
    <row r="480">
      <c r="L480" s="5"/>
    </row>
    <row r="481">
      <c r="L481" s="5"/>
    </row>
    <row r="482">
      <c r="L482" s="5"/>
    </row>
    <row r="483">
      <c r="L483" s="5"/>
    </row>
    <row r="484">
      <c r="L484" s="5"/>
    </row>
    <row r="485">
      <c r="L485" s="5"/>
    </row>
    <row r="486">
      <c r="L486" s="5"/>
    </row>
    <row r="487">
      <c r="L487" s="5"/>
    </row>
    <row r="488">
      <c r="L488" s="5"/>
    </row>
    <row r="489">
      <c r="L489" s="5"/>
    </row>
    <row r="490">
      <c r="L490" s="5"/>
    </row>
    <row r="491">
      <c r="L491" s="5"/>
    </row>
    <row r="492">
      <c r="L492" s="5"/>
    </row>
    <row r="493">
      <c r="L493" s="5"/>
    </row>
    <row r="494">
      <c r="L494" s="5"/>
    </row>
    <row r="495">
      <c r="L495" s="5"/>
    </row>
    <row r="496">
      <c r="L496" s="5"/>
    </row>
    <row r="497">
      <c r="L497" s="5"/>
    </row>
    <row r="498">
      <c r="L498" s="5"/>
    </row>
    <row r="499">
      <c r="L499" s="5"/>
    </row>
    <row r="500">
      <c r="L500" s="5"/>
    </row>
    <row r="501">
      <c r="L501" s="5"/>
    </row>
    <row r="502">
      <c r="L502" s="5"/>
    </row>
    <row r="503">
      <c r="L503" s="5"/>
    </row>
    <row r="504">
      <c r="L504" s="5"/>
    </row>
    <row r="505">
      <c r="L505" s="5"/>
    </row>
    <row r="506">
      <c r="L506" s="5"/>
    </row>
    <row r="507">
      <c r="L507" s="5"/>
    </row>
    <row r="508">
      <c r="L508" s="5"/>
    </row>
    <row r="509">
      <c r="L509" s="5"/>
    </row>
    <row r="510">
      <c r="L510" s="5"/>
    </row>
    <row r="511">
      <c r="L511" s="5"/>
    </row>
    <row r="512">
      <c r="L512" s="5"/>
    </row>
    <row r="513">
      <c r="L513" s="5"/>
    </row>
    <row r="514">
      <c r="L514" s="5"/>
    </row>
    <row r="515">
      <c r="L515" s="5"/>
    </row>
    <row r="516">
      <c r="L516" s="5"/>
    </row>
    <row r="517">
      <c r="L517" s="5"/>
    </row>
    <row r="518">
      <c r="L518" s="5"/>
    </row>
    <row r="519">
      <c r="L519" s="5"/>
    </row>
    <row r="520">
      <c r="L520" s="5"/>
    </row>
    <row r="521">
      <c r="L521" s="5"/>
    </row>
    <row r="522">
      <c r="L522" s="5"/>
    </row>
    <row r="523">
      <c r="L523" s="5"/>
    </row>
    <row r="524">
      <c r="L524" s="5"/>
    </row>
    <row r="525">
      <c r="L525" s="5"/>
    </row>
    <row r="526">
      <c r="L526" s="5"/>
    </row>
    <row r="527">
      <c r="L527" s="5"/>
    </row>
    <row r="528">
      <c r="L528" s="5"/>
    </row>
    <row r="529">
      <c r="L529" s="5"/>
    </row>
    <row r="530">
      <c r="L530" s="5"/>
    </row>
    <row r="531">
      <c r="L531" s="5"/>
    </row>
    <row r="532">
      <c r="L532" s="5"/>
    </row>
    <row r="533">
      <c r="L533" s="5"/>
    </row>
    <row r="534">
      <c r="L534" s="5"/>
    </row>
    <row r="535">
      <c r="L535" s="5"/>
    </row>
    <row r="536">
      <c r="L536" s="5"/>
    </row>
    <row r="537">
      <c r="L537" s="5"/>
    </row>
    <row r="538">
      <c r="L538" s="5"/>
    </row>
    <row r="539">
      <c r="L539" s="5"/>
    </row>
    <row r="540">
      <c r="L540" s="5"/>
    </row>
    <row r="541">
      <c r="L541" s="5"/>
    </row>
    <row r="542">
      <c r="L542" s="5"/>
    </row>
    <row r="543">
      <c r="L543" s="5"/>
    </row>
    <row r="544">
      <c r="L544" s="5"/>
    </row>
    <row r="545">
      <c r="L545" s="5"/>
    </row>
    <row r="546">
      <c r="L546" s="5"/>
    </row>
    <row r="547">
      <c r="L547" s="5"/>
    </row>
    <row r="548">
      <c r="L548" s="5"/>
    </row>
    <row r="549">
      <c r="L549" s="5"/>
    </row>
    <row r="550">
      <c r="L550" s="5"/>
    </row>
    <row r="551">
      <c r="L551" s="5"/>
    </row>
    <row r="552">
      <c r="L552" s="5"/>
    </row>
    <row r="553">
      <c r="L553" s="5"/>
    </row>
    <row r="554">
      <c r="L554" s="5"/>
    </row>
    <row r="555">
      <c r="L555" s="5"/>
    </row>
    <row r="556">
      <c r="L556" s="5"/>
    </row>
    <row r="557">
      <c r="L557" s="5"/>
    </row>
    <row r="558">
      <c r="L558" s="5"/>
    </row>
    <row r="559">
      <c r="L559" s="5"/>
    </row>
    <row r="560">
      <c r="L560" s="5"/>
    </row>
    <row r="561">
      <c r="L561" s="5"/>
    </row>
    <row r="562">
      <c r="L562" s="5"/>
    </row>
    <row r="563">
      <c r="L563" s="5"/>
    </row>
    <row r="564">
      <c r="L564" s="5"/>
    </row>
    <row r="565">
      <c r="L565" s="5"/>
    </row>
    <row r="566">
      <c r="L566" s="5"/>
    </row>
    <row r="567">
      <c r="L567" s="5"/>
    </row>
    <row r="568">
      <c r="L568" s="5"/>
    </row>
    <row r="569">
      <c r="L569" s="5"/>
    </row>
    <row r="570">
      <c r="L570" s="5"/>
    </row>
    <row r="571">
      <c r="L571" s="5"/>
    </row>
    <row r="572">
      <c r="L572" s="5"/>
    </row>
    <row r="573">
      <c r="L573" s="5"/>
    </row>
    <row r="574">
      <c r="L574" s="5"/>
    </row>
    <row r="575">
      <c r="L575" s="5"/>
    </row>
    <row r="576">
      <c r="L576" s="5"/>
    </row>
    <row r="577">
      <c r="L577" s="5"/>
    </row>
    <row r="578">
      <c r="L578" s="5"/>
    </row>
    <row r="579">
      <c r="L579" s="5"/>
    </row>
    <row r="580">
      <c r="L580" s="5"/>
    </row>
    <row r="581">
      <c r="L581" s="5"/>
    </row>
    <row r="582">
      <c r="L582" s="5"/>
    </row>
    <row r="583">
      <c r="L583" s="5"/>
    </row>
    <row r="584">
      <c r="L584" s="5"/>
    </row>
    <row r="585">
      <c r="L585" s="5"/>
    </row>
    <row r="586">
      <c r="L586" s="5"/>
    </row>
    <row r="587">
      <c r="L587" s="5"/>
    </row>
    <row r="588">
      <c r="L588" s="5"/>
    </row>
    <row r="589">
      <c r="L589" s="5"/>
    </row>
    <row r="590">
      <c r="L590" s="5"/>
    </row>
    <row r="591">
      <c r="L591" s="5"/>
    </row>
    <row r="592">
      <c r="L592" s="5"/>
    </row>
    <row r="593">
      <c r="L593" s="5"/>
    </row>
    <row r="594">
      <c r="L594" s="5"/>
    </row>
    <row r="595">
      <c r="L595" s="5"/>
    </row>
    <row r="596">
      <c r="L596" s="5"/>
    </row>
    <row r="597">
      <c r="L597" s="5"/>
    </row>
    <row r="598">
      <c r="L598" s="5"/>
    </row>
    <row r="599">
      <c r="L599" s="5"/>
    </row>
    <row r="600">
      <c r="L600" s="5"/>
    </row>
    <row r="601">
      <c r="L601" s="5"/>
    </row>
    <row r="602">
      <c r="L602" s="5"/>
    </row>
    <row r="603">
      <c r="L603" s="5"/>
    </row>
    <row r="604">
      <c r="L604" s="5"/>
    </row>
    <row r="605">
      <c r="L605" s="5"/>
    </row>
    <row r="606">
      <c r="L606" s="5"/>
    </row>
    <row r="607">
      <c r="L607" s="5"/>
    </row>
    <row r="608">
      <c r="L608" s="5"/>
    </row>
    <row r="609">
      <c r="L609" s="5"/>
    </row>
    <row r="610">
      <c r="L610" s="5"/>
    </row>
    <row r="611">
      <c r="L611" s="5"/>
    </row>
    <row r="612">
      <c r="L612" s="5"/>
    </row>
    <row r="613">
      <c r="L613" s="5"/>
    </row>
    <row r="614">
      <c r="L614" s="5"/>
    </row>
    <row r="615">
      <c r="L615" s="5"/>
    </row>
    <row r="616">
      <c r="L616" s="5"/>
    </row>
    <row r="617">
      <c r="L617" s="5"/>
    </row>
    <row r="618">
      <c r="L618" s="5"/>
    </row>
    <row r="619">
      <c r="L619" s="5"/>
    </row>
    <row r="620">
      <c r="L620" s="5"/>
    </row>
    <row r="621">
      <c r="L621" s="5"/>
    </row>
    <row r="622">
      <c r="L622" s="5"/>
    </row>
    <row r="623">
      <c r="L623" s="5"/>
    </row>
    <row r="624">
      <c r="L624" s="5"/>
    </row>
    <row r="625">
      <c r="L625" s="5"/>
    </row>
    <row r="626">
      <c r="L626" s="5"/>
    </row>
    <row r="627">
      <c r="L627" s="5"/>
    </row>
    <row r="628">
      <c r="L628" s="5"/>
    </row>
    <row r="629">
      <c r="L629" s="5"/>
    </row>
    <row r="630">
      <c r="L630" s="5"/>
    </row>
    <row r="631">
      <c r="L631" s="5"/>
    </row>
    <row r="632">
      <c r="L632" s="5"/>
    </row>
    <row r="633">
      <c r="L633" s="5"/>
    </row>
    <row r="634">
      <c r="L634" s="5"/>
    </row>
    <row r="635">
      <c r="L635" s="5"/>
    </row>
    <row r="636">
      <c r="L636" s="5"/>
    </row>
    <row r="637">
      <c r="L637" s="5"/>
    </row>
    <row r="638">
      <c r="L638" s="5"/>
    </row>
    <row r="639">
      <c r="L639" s="5"/>
    </row>
    <row r="640">
      <c r="L640" s="5"/>
    </row>
    <row r="641">
      <c r="L641" s="5"/>
    </row>
    <row r="642">
      <c r="L642" s="5"/>
    </row>
    <row r="643">
      <c r="L643" s="5"/>
    </row>
    <row r="644">
      <c r="L644" s="5"/>
    </row>
    <row r="645">
      <c r="L645" s="5"/>
    </row>
    <row r="646">
      <c r="L646" s="5"/>
    </row>
    <row r="647">
      <c r="L647" s="5"/>
    </row>
    <row r="648">
      <c r="L648" s="5"/>
    </row>
    <row r="649">
      <c r="L649" s="5"/>
    </row>
    <row r="650">
      <c r="L650" s="5"/>
    </row>
    <row r="651">
      <c r="L651" s="5"/>
    </row>
    <row r="652">
      <c r="L652" s="5"/>
    </row>
    <row r="653">
      <c r="L653" s="5"/>
    </row>
    <row r="654">
      <c r="L654" s="5"/>
    </row>
    <row r="655">
      <c r="L655" s="5"/>
    </row>
    <row r="656">
      <c r="L656" s="5"/>
    </row>
    <row r="657">
      <c r="L657" s="5"/>
    </row>
    <row r="658">
      <c r="L658" s="5"/>
    </row>
    <row r="659">
      <c r="L659" s="5"/>
    </row>
    <row r="660">
      <c r="L660" s="5"/>
    </row>
    <row r="661">
      <c r="L661" s="5"/>
    </row>
    <row r="662">
      <c r="L662" s="5"/>
    </row>
    <row r="663">
      <c r="L663" s="5"/>
    </row>
    <row r="664">
      <c r="L664" s="5"/>
    </row>
    <row r="665">
      <c r="L665" s="5"/>
    </row>
    <row r="666">
      <c r="L666" s="5"/>
    </row>
    <row r="667">
      <c r="L667" s="5"/>
    </row>
    <row r="668">
      <c r="L668" s="5"/>
    </row>
    <row r="669">
      <c r="L669" s="5"/>
    </row>
    <row r="670">
      <c r="L670" s="5"/>
    </row>
    <row r="671">
      <c r="L671" s="5"/>
    </row>
    <row r="672">
      <c r="L672" s="5"/>
    </row>
    <row r="673">
      <c r="L673" s="5"/>
    </row>
    <row r="674">
      <c r="L674" s="5"/>
    </row>
    <row r="675">
      <c r="L675" s="5"/>
    </row>
    <row r="676">
      <c r="L676" s="5"/>
    </row>
    <row r="677">
      <c r="L677" s="5"/>
    </row>
    <row r="678">
      <c r="L678" s="5"/>
    </row>
    <row r="679">
      <c r="L679" s="5"/>
    </row>
    <row r="680">
      <c r="L680" s="5"/>
    </row>
    <row r="681">
      <c r="L681" s="5"/>
    </row>
    <row r="682">
      <c r="L682" s="5"/>
    </row>
    <row r="683">
      <c r="L683" s="5"/>
    </row>
    <row r="684">
      <c r="L684" s="5"/>
    </row>
    <row r="685">
      <c r="L685" s="5"/>
    </row>
    <row r="686">
      <c r="L686" s="5"/>
    </row>
    <row r="687">
      <c r="L687" s="5"/>
    </row>
    <row r="688">
      <c r="L688" s="5"/>
    </row>
    <row r="689">
      <c r="L689" s="5"/>
    </row>
    <row r="690">
      <c r="L690" s="5"/>
    </row>
    <row r="691">
      <c r="L691" s="5"/>
    </row>
    <row r="692">
      <c r="L692" s="5"/>
    </row>
    <row r="693">
      <c r="L693" s="5"/>
    </row>
    <row r="694">
      <c r="L694" s="5"/>
    </row>
    <row r="695">
      <c r="L695" s="5"/>
    </row>
    <row r="696">
      <c r="L696" s="5"/>
    </row>
    <row r="697">
      <c r="L697" s="5"/>
    </row>
    <row r="698">
      <c r="L698" s="5"/>
    </row>
    <row r="699">
      <c r="L699" s="5"/>
    </row>
    <row r="700">
      <c r="L700" s="5"/>
    </row>
    <row r="701">
      <c r="L701" s="5"/>
    </row>
    <row r="702">
      <c r="L702" s="5"/>
    </row>
    <row r="703">
      <c r="L703" s="5"/>
    </row>
    <row r="704">
      <c r="L704" s="5"/>
    </row>
    <row r="705">
      <c r="L705" s="5"/>
    </row>
    <row r="706">
      <c r="L706" s="5"/>
    </row>
    <row r="707">
      <c r="L707" s="5"/>
    </row>
    <row r="708">
      <c r="L708" s="5"/>
    </row>
    <row r="709">
      <c r="L709" s="5"/>
    </row>
    <row r="710">
      <c r="L710" s="5"/>
    </row>
    <row r="711">
      <c r="L711" s="5"/>
    </row>
    <row r="712">
      <c r="L712" s="5"/>
    </row>
    <row r="713">
      <c r="L713" s="5"/>
    </row>
    <row r="714">
      <c r="L714" s="5"/>
    </row>
    <row r="715">
      <c r="L715" s="5"/>
    </row>
    <row r="716">
      <c r="L716" s="5"/>
    </row>
    <row r="717">
      <c r="L717" s="5"/>
    </row>
    <row r="718">
      <c r="L718" s="5"/>
    </row>
    <row r="719">
      <c r="L719" s="5"/>
    </row>
    <row r="720">
      <c r="L720" s="5"/>
    </row>
    <row r="721">
      <c r="L721" s="5"/>
    </row>
    <row r="722">
      <c r="L722" s="5"/>
    </row>
    <row r="723">
      <c r="L723" s="5"/>
    </row>
    <row r="724">
      <c r="L724" s="5"/>
    </row>
    <row r="725">
      <c r="L725" s="5"/>
    </row>
    <row r="726">
      <c r="L726" s="5"/>
    </row>
    <row r="727">
      <c r="L727" s="5"/>
    </row>
    <row r="728">
      <c r="L728" s="5"/>
    </row>
    <row r="729">
      <c r="L729" s="5"/>
    </row>
    <row r="730">
      <c r="L730" s="5"/>
    </row>
    <row r="731">
      <c r="L731" s="5"/>
    </row>
    <row r="732">
      <c r="L732" s="5"/>
    </row>
    <row r="733">
      <c r="L733" s="5"/>
    </row>
    <row r="734">
      <c r="L734" s="5"/>
    </row>
    <row r="735">
      <c r="L735" s="5"/>
    </row>
    <row r="736">
      <c r="L736" s="5"/>
    </row>
    <row r="737">
      <c r="L737" s="5"/>
    </row>
    <row r="738">
      <c r="L738" s="5"/>
    </row>
    <row r="739">
      <c r="L739" s="5"/>
    </row>
    <row r="740">
      <c r="L740" s="5"/>
    </row>
    <row r="741">
      <c r="L741" s="5"/>
    </row>
    <row r="742">
      <c r="L742" s="5"/>
    </row>
    <row r="743">
      <c r="L743" s="5"/>
    </row>
    <row r="744">
      <c r="L744" s="5"/>
    </row>
    <row r="745">
      <c r="L745" s="5"/>
    </row>
    <row r="746">
      <c r="L746" s="5"/>
    </row>
    <row r="747">
      <c r="L747" s="5"/>
    </row>
    <row r="748">
      <c r="L748" s="5"/>
    </row>
    <row r="749">
      <c r="L749" s="5"/>
    </row>
    <row r="750">
      <c r="L750" s="5"/>
    </row>
    <row r="751">
      <c r="L751" s="5"/>
    </row>
    <row r="752">
      <c r="L752" s="5"/>
    </row>
    <row r="753">
      <c r="L753" s="5"/>
    </row>
    <row r="754">
      <c r="L754" s="5"/>
    </row>
    <row r="755">
      <c r="L755" s="5"/>
    </row>
    <row r="756">
      <c r="L756" s="5"/>
    </row>
    <row r="757">
      <c r="L757" s="5"/>
    </row>
    <row r="758">
      <c r="L758" s="5"/>
    </row>
    <row r="759">
      <c r="L759" s="5"/>
    </row>
    <row r="760">
      <c r="L760" s="5"/>
    </row>
    <row r="761">
      <c r="L761" s="5"/>
    </row>
    <row r="762">
      <c r="L762" s="5"/>
    </row>
    <row r="763">
      <c r="L763" s="5"/>
    </row>
    <row r="764">
      <c r="L764" s="5"/>
    </row>
    <row r="765">
      <c r="L765" s="5"/>
    </row>
    <row r="766">
      <c r="L766" s="5"/>
    </row>
    <row r="767">
      <c r="L767" s="5"/>
    </row>
    <row r="768">
      <c r="L768" s="5"/>
    </row>
    <row r="769">
      <c r="L769" s="5"/>
    </row>
    <row r="770">
      <c r="L770" s="5"/>
    </row>
    <row r="771">
      <c r="L771" s="5"/>
    </row>
    <row r="772">
      <c r="L772" s="5"/>
    </row>
    <row r="773">
      <c r="L773" s="5"/>
    </row>
    <row r="774">
      <c r="L774" s="5"/>
    </row>
    <row r="775">
      <c r="L775" s="5"/>
    </row>
    <row r="776">
      <c r="L776" s="5"/>
    </row>
    <row r="777">
      <c r="L777" s="5"/>
    </row>
    <row r="778">
      <c r="L778" s="5"/>
    </row>
    <row r="779">
      <c r="L779" s="5"/>
    </row>
    <row r="780">
      <c r="L780" s="5"/>
    </row>
    <row r="781">
      <c r="L781" s="5"/>
    </row>
    <row r="782">
      <c r="L782" s="5"/>
    </row>
    <row r="783">
      <c r="L783" s="5"/>
    </row>
    <row r="784">
      <c r="L784" s="5"/>
    </row>
    <row r="785">
      <c r="L785" s="5"/>
    </row>
    <row r="786">
      <c r="L786" s="5"/>
    </row>
    <row r="787">
      <c r="L787" s="5"/>
    </row>
    <row r="788">
      <c r="L788" s="5"/>
    </row>
    <row r="789">
      <c r="L789" s="5"/>
    </row>
    <row r="790">
      <c r="L790" s="5"/>
    </row>
    <row r="791">
      <c r="L791" s="5"/>
    </row>
    <row r="792">
      <c r="L792" s="5"/>
    </row>
    <row r="793">
      <c r="L793" s="5"/>
    </row>
    <row r="794">
      <c r="L794" s="5"/>
    </row>
    <row r="795">
      <c r="L795" s="5"/>
    </row>
    <row r="796">
      <c r="L796" s="5"/>
    </row>
    <row r="797">
      <c r="L797" s="5"/>
    </row>
    <row r="798">
      <c r="L798" s="5"/>
    </row>
    <row r="799">
      <c r="L799" s="5"/>
    </row>
    <row r="800">
      <c r="L800" s="5"/>
    </row>
    <row r="801">
      <c r="L801" s="5"/>
    </row>
    <row r="802">
      <c r="L802" s="5"/>
    </row>
    <row r="803">
      <c r="L803" s="5"/>
    </row>
    <row r="804">
      <c r="L804" s="5"/>
    </row>
    <row r="805">
      <c r="L805" s="5"/>
    </row>
    <row r="806">
      <c r="L806" s="5"/>
    </row>
    <row r="807">
      <c r="L807" s="5"/>
    </row>
    <row r="808">
      <c r="L808" s="5"/>
    </row>
    <row r="809">
      <c r="L809" s="5"/>
    </row>
    <row r="810">
      <c r="L810" s="5"/>
    </row>
    <row r="811">
      <c r="L811" s="5"/>
    </row>
    <row r="812">
      <c r="L812" s="5"/>
    </row>
    <row r="813">
      <c r="L813" s="5"/>
    </row>
    <row r="814">
      <c r="L814" s="5"/>
    </row>
    <row r="815">
      <c r="L815" s="5"/>
    </row>
    <row r="816">
      <c r="L816" s="5"/>
    </row>
    <row r="817">
      <c r="L817" s="5"/>
    </row>
    <row r="818">
      <c r="L818" s="5"/>
    </row>
    <row r="819">
      <c r="L819" s="5"/>
    </row>
    <row r="820">
      <c r="L820" s="5"/>
    </row>
    <row r="821">
      <c r="L821" s="5"/>
    </row>
    <row r="822">
      <c r="L822" s="5"/>
    </row>
    <row r="823">
      <c r="L823" s="5"/>
    </row>
    <row r="824">
      <c r="L824" s="5"/>
    </row>
    <row r="825">
      <c r="L825" s="5"/>
    </row>
    <row r="826">
      <c r="L826" s="5"/>
    </row>
    <row r="827">
      <c r="L827" s="5"/>
    </row>
    <row r="828">
      <c r="L828" s="5"/>
    </row>
    <row r="829">
      <c r="L829" s="5"/>
    </row>
    <row r="830">
      <c r="L830" s="5"/>
    </row>
    <row r="831">
      <c r="L831" s="5"/>
    </row>
    <row r="832">
      <c r="L832" s="5"/>
    </row>
    <row r="833">
      <c r="L833" s="5"/>
    </row>
    <row r="834">
      <c r="L834" s="5"/>
    </row>
    <row r="835">
      <c r="L835" s="5"/>
    </row>
    <row r="836">
      <c r="L836" s="5"/>
    </row>
    <row r="837">
      <c r="L837" s="5"/>
    </row>
    <row r="838">
      <c r="L838" s="5"/>
    </row>
    <row r="839">
      <c r="L839" s="5"/>
    </row>
    <row r="840">
      <c r="L840" s="5"/>
    </row>
    <row r="841">
      <c r="L841" s="5"/>
    </row>
    <row r="842">
      <c r="L842" s="5"/>
    </row>
    <row r="843">
      <c r="L843" s="5"/>
    </row>
    <row r="844">
      <c r="L844" s="5"/>
    </row>
    <row r="845">
      <c r="L845" s="5"/>
    </row>
    <row r="846">
      <c r="L846" s="5"/>
    </row>
    <row r="847">
      <c r="L847" s="5"/>
    </row>
    <row r="848">
      <c r="L848" s="5"/>
    </row>
    <row r="849">
      <c r="L849" s="5"/>
    </row>
    <row r="850">
      <c r="L850" s="5"/>
    </row>
    <row r="851">
      <c r="L851" s="5"/>
    </row>
    <row r="852">
      <c r="L852" s="5"/>
    </row>
    <row r="853">
      <c r="L853" s="5"/>
    </row>
    <row r="854">
      <c r="L854" s="5"/>
    </row>
    <row r="855">
      <c r="L855" s="5"/>
    </row>
    <row r="856">
      <c r="L856" s="5"/>
    </row>
    <row r="857">
      <c r="L857" s="5"/>
    </row>
    <row r="858">
      <c r="L858" s="5"/>
    </row>
    <row r="859">
      <c r="L859" s="5"/>
    </row>
    <row r="860">
      <c r="L860" s="5"/>
    </row>
    <row r="861">
      <c r="L861" s="5"/>
    </row>
    <row r="862">
      <c r="L862" s="5"/>
    </row>
    <row r="863">
      <c r="L863" s="5"/>
    </row>
    <row r="864">
      <c r="L864" s="5"/>
    </row>
    <row r="865">
      <c r="L865" s="5"/>
    </row>
    <row r="866">
      <c r="L866" s="5"/>
    </row>
    <row r="867">
      <c r="L867" s="5"/>
    </row>
    <row r="868">
      <c r="L868" s="5"/>
    </row>
    <row r="869">
      <c r="L869" s="5"/>
    </row>
    <row r="870">
      <c r="L870" s="5"/>
    </row>
    <row r="871">
      <c r="L871" s="5"/>
    </row>
    <row r="872">
      <c r="L872" s="5"/>
    </row>
    <row r="873">
      <c r="L873" s="5"/>
    </row>
    <row r="874">
      <c r="L874" s="5"/>
    </row>
    <row r="875">
      <c r="L875" s="5"/>
    </row>
    <row r="876">
      <c r="L876" s="5"/>
    </row>
    <row r="877">
      <c r="L877" s="5"/>
    </row>
    <row r="878">
      <c r="L878" s="5"/>
    </row>
    <row r="879">
      <c r="L879" s="5"/>
    </row>
    <row r="880">
      <c r="L880" s="5"/>
    </row>
    <row r="881">
      <c r="L881" s="5"/>
    </row>
    <row r="882">
      <c r="L882" s="5"/>
    </row>
    <row r="883">
      <c r="L883" s="5"/>
    </row>
    <row r="884">
      <c r="L884" s="5"/>
    </row>
    <row r="885">
      <c r="L885" s="5"/>
    </row>
    <row r="886">
      <c r="L886" s="5"/>
    </row>
    <row r="887">
      <c r="L887" s="5"/>
    </row>
    <row r="888">
      <c r="L888" s="5"/>
    </row>
    <row r="889">
      <c r="L889" s="5"/>
    </row>
    <row r="890">
      <c r="L890" s="5"/>
    </row>
    <row r="891">
      <c r="L891" s="5"/>
    </row>
    <row r="892">
      <c r="L892" s="5"/>
    </row>
    <row r="893">
      <c r="L893" s="5"/>
    </row>
    <row r="894">
      <c r="L894" s="5"/>
    </row>
    <row r="895">
      <c r="L895" s="5"/>
    </row>
    <row r="896">
      <c r="L896" s="5"/>
    </row>
    <row r="897">
      <c r="L897" s="5"/>
    </row>
    <row r="898">
      <c r="L898" s="5"/>
    </row>
    <row r="899">
      <c r="L899" s="5"/>
    </row>
    <row r="900">
      <c r="L900" s="5"/>
    </row>
    <row r="901">
      <c r="L901" s="5"/>
    </row>
    <row r="902">
      <c r="L902" s="5"/>
    </row>
    <row r="903">
      <c r="L903" s="5"/>
    </row>
    <row r="904">
      <c r="L904" s="5"/>
    </row>
    <row r="905">
      <c r="L905" s="5"/>
    </row>
    <row r="906">
      <c r="L906" s="5"/>
    </row>
    <row r="907">
      <c r="L907" s="5"/>
    </row>
    <row r="908">
      <c r="L908" s="5"/>
    </row>
    <row r="909">
      <c r="L909" s="5"/>
    </row>
    <row r="910">
      <c r="L910" s="5"/>
    </row>
    <row r="911">
      <c r="L911" s="5"/>
    </row>
    <row r="912">
      <c r="L912" s="5"/>
    </row>
    <row r="913">
      <c r="L913" s="5"/>
    </row>
    <row r="914">
      <c r="L914" s="5"/>
    </row>
    <row r="915">
      <c r="L915" s="5"/>
    </row>
    <row r="916">
      <c r="L916" s="5"/>
    </row>
    <row r="917">
      <c r="L917" s="5"/>
    </row>
    <row r="918">
      <c r="L918" s="5"/>
    </row>
    <row r="919">
      <c r="L919" s="5"/>
    </row>
    <row r="920">
      <c r="L920" s="5"/>
    </row>
    <row r="921">
      <c r="L921" s="5"/>
    </row>
    <row r="922">
      <c r="L922" s="5"/>
    </row>
    <row r="923">
      <c r="L923" s="5"/>
    </row>
    <row r="924">
      <c r="L924" s="5"/>
    </row>
    <row r="925">
      <c r="L925" s="5"/>
    </row>
    <row r="926">
      <c r="L926" s="5"/>
    </row>
    <row r="927">
      <c r="L927" s="5"/>
    </row>
    <row r="928">
      <c r="L928" s="5"/>
    </row>
    <row r="929">
      <c r="L929" s="5"/>
    </row>
    <row r="930">
      <c r="L930" s="5"/>
    </row>
    <row r="931">
      <c r="L931" s="5"/>
    </row>
    <row r="932">
      <c r="L932" s="5"/>
    </row>
    <row r="933">
      <c r="L933" s="5"/>
    </row>
    <row r="934">
      <c r="L934" s="5"/>
    </row>
    <row r="935">
      <c r="L935" s="5"/>
    </row>
    <row r="936">
      <c r="L936" s="5"/>
    </row>
    <row r="937">
      <c r="L937" s="5"/>
    </row>
    <row r="938">
      <c r="L938" s="5"/>
    </row>
    <row r="939">
      <c r="L939" s="5"/>
    </row>
    <row r="940">
      <c r="L940" s="5"/>
    </row>
    <row r="941">
      <c r="L941" s="5"/>
    </row>
    <row r="942">
      <c r="L942" s="5"/>
    </row>
    <row r="943">
      <c r="L943" s="5"/>
    </row>
    <row r="944">
      <c r="L944" s="5"/>
    </row>
    <row r="945">
      <c r="L945" s="5"/>
    </row>
    <row r="946">
      <c r="L946" s="5"/>
    </row>
    <row r="947">
      <c r="L947" s="5"/>
    </row>
    <row r="948">
      <c r="L948" s="5"/>
    </row>
    <row r="949">
      <c r="L949" s="5"/>
    </row>
    <row r="950">
      <c r="L950" s="5"/>
    </row>
    <row r="951">
      <c r="L951" s="5"/>
    </row>
    <row r="952">
      <c r="L952" s="5"/>
    </row>
    <row r="953">
      <c r="L953" s="5"/>
    </row>
    <row r="954">
      <c r="L954" s="5"/>
    </row>
    <row r="955">
      <c r="L955" s="5"/>
    </row>
    <row r="956">
      <c r="L956" s="5"/>
    </row>
    <row r="957">
      <c r="L957" s="5"/>
    </row>
    <row r="958">
      <c r="L958" s="5"/>
    </row>
    <row r="959">
      <c r="L959" s="5"/>
    </row>
    <row r="960">
      <c r="L960" s="5"/>
    </row>
    <row r="961">
      <c r="L961" s="5"/>
    </row>
    <row r="962">
      <c r="L962" s="5"/>
    </row>
    <row r="963">
      <c r="L963" s="5"/>
    </row>
    <row r="964">
      <c r="L964" s="5"/>
    </row>
    <row r="965">
      <c r="L965" s="5"/>
    </row>
    <row r="966">
      <c r="L966" s="5"/>
    </row>
    <row r="967">
      <c r="L967" s="5"/>
    </row>
    <row r="968">
      <c r="L968" s="5"/>
    </row>
    <row r="969">
      <c r="L969" s="5"/>
    </row>
    <row r="970">
      <c r="L970" s="5"/>
    </row>
    <row r="971">
      <c r="L971" s="5"/>
    </row>
    <row r="972">
      <c r="L972" s="5"/>
    </row>
    <row r="973">
      <c r="L973" s="5"/>
    </row>
    <row r="974">
      <c r="L974" s="5"/>
    </row>
    <row r="975">
      <c r="L975" s="5"/>
    </row>
    <row r="976">
      <c r="L976" s="5"/>
    </row>
    <row r="977">
      <c r="L977" s="5"/>
    </row>
    <row r="978">
      <c r="L978" s="5"/>
    </row>
    <row r="979">
      <c r="L979" s="5"/>
    </row>
    <row r="980">
      <c r="L980" s="5"/>
    </row>
    <row r="981">
      <c r="L981" s="5"/>
    </row>
    <row r="982">
      <c r="L982" s="5"/>
    </row>
    <row r="983">
      <c r="L983" s="5"/>
    </row>
    <row r="984">
      <c r="L984" s="5"/>
    </row>
    <row r="985">
      <c r="L985" s="5"/>
    </row>
    <row r="986">
      <c r="L986" s="5"/>
    </row>
    <row r="987">
      <c r="L987" s="5"/>
    </row>
    <row r="988">
      <c r="L988" s="5"/>
    </row>
    <row r="989">
      <c r="L989" s="5"/>
    </row>
    <row r="990">
      <c r="L990" s="5"/>
    </row>
    <row r="991">
      <c r="L991" s="5"/>
    </row>
    <row r="992">
      <c r="L992" s="5"/>
    </row>
    <row r="993">
      <c r="L993" s="5"/>
    </row>
    <row r="994">
      <c r="L994" s="5"/>
    </row>
    <row r="995">
      <c r="L995" s="5"/>
    </row>
    <row r="996">
      <c r="L996" s="5"/>
    </row>
    <row r="997">
      <c r="L997" s="5"/>
    </row>
    <row r="998">
      <c r="L998" s="5"/>
    </row>
    <row r="999">
      <c r="L999" s="5"/>
    </row>
    <row r="1000">
      <c r="L1000" s="5"/>
    </row>
  </sheetData>
  <drawing r:id="rId1"/>
</worksheet>
</file>